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m1ctyne\Downloads\"/>
    </mc:Choice>
  </mc:AlternateContent>
  <xr:revisionPtr revIDLastSave="0" documentId="8_{92A8CA4F-B6AB-4838-BF8C-91DBDA86869B}" xr6:coauthVersionLast="47" xr6:coauthVersionMax="47" xr10:uidLastSave="{00000000-0000-0000-0000-000000000000}"/>
  <bookViews>
    <workbookView xWindow="-110" yWindow="-110" windowWidth="19420" windowHeight="11500" xr2:uid="{C4658658-4D5B-4B81-9351-CC80DEE160E0}"/>
  </bookViews>
  <sheets>
    <sheet name="01.29.2021" sheetId="1" r:id="rId1"/>
    <sheet name="03.16.2022" sheetId="2" r:id="rId2"/>
    <sheet name="12.28.2022" sheetId="3" r:id="rId3"/>
    <sheet name="04.09.2024" sheetId="4" r:id="rId4"/>
    <sheet name="03.11.202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9" i="5" l="1"/>
  <c r="H69" i="5"/>
  <c r="F69" i="5"/>
  <c r="D69" i="5"/>
  <c r="I69" i="5"/>
  <c r="G69" i="5"/>
  <c r="E69" i="5"/>
  <c r="C69" i="5"/>
  <c r="B69" i="5"/>
  <c r="J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H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F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D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J69" i="4"/>
  <c r="H69" i="4"/>
  <c r="F69" i="4"/>
  <c r="D69" i="4"/>
  <c r="I69" i="4"/>
  <c r="G69" i="4"/>
  <c r="E69" i="4"/>
  <c r="C69" i="4"/>
  <c r="B69" i="4"/>
  <c r="J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H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D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J69" i="3"/>
  <c r="H69" i="3"/>
  <c r="F69" i="3"/>
  <c r="D69" i="3"/>
  <c r="I69" i="3"/>
  <c r="G69" i="3"/>
  <c r="E69" i="3"/>
  <c r="C69" i="3"/>
  <c r="B69" i="3"/>
  <c r="J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J69" i="2"/>
  <c r="H69" i="2"/>
  <c r="F69" i="2"/>
  <c r="D69" i="2"/>
  <c r="I69" i="2"/>
  <c r="G69" i="2"/>
  <c r="E69" i="2"/>
  <c r="C69" i="2"/>
  <c r="B69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J69" i="1"/>
  <c r="H69" i="1"/>
  <c r="F69" i="1"/>
  <c r="D69" i="1"/>
  <c r="B69" i="1"/>
  <c r="I69" i="1"/>
  <c r="G69" i="1"/>
  <c r="E69" i="1"/>
  <c r="C69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</calcChain>
</file>

<file path=xl/sharedStrings.xml><?xml version="1.0" encoding="utf-8"?>
<sst xmlns="http://schemas.openxmlformats.org/spreadsheetml/2006/main" count="385" uniqueCount="78">
  <si>
    <t>County</t>
  </si>
  <si>
    <t>AUTAUGA</t>
  </si>
  <si>
    <t>BALDWIN</t>
  </si>
  <si>
    <t>BARBOUR</t>
  </si>
  <si>
    <t>BIBB</t>
  </si>
  <si>
    <t>BLOUNT</t>
  </si>
  <si>
    <t>BULLOCK</t>
  </si>
  <si>
    <t>BUTLER</t>
  </si>
  <si>
    <t>CALHOUN</t>
  </si>
  <si>
    <t>CHAMBERS</t>
  </si>
  <si>
    <t>CHEROKEE</t>
  </si>
  <si>
    <t>CHILTON</t>
  </si>
  <si>
    <t>CHOCTAW</t>
  </si>
  <si>
    <t>CLARKE</t>
  </si>
  <si>
    <t>CLAY</t>
  </si>
  <si>
    <t>CLEBURNE</t>
  </si>
  <si>
    <t>COFFEE</t>
  </si>
  <si>
    <t>COLBERT</t>
  </si>
  <si>
    <t>CONECUH</t>
  </si>
  <si>
    <t>COOSA</t>
  </si>
  <si>
    <t>COVINGTON</t>
  </si>
  <si>
    <t>CRENSHAW</t>
  </si>
  <si>
    <t>CULLMAN</t>
  </si>
  <si>
    <t>DALE</t>
  </si>
  <si>
    <t>DALLAS</t>
  </si>
  <si>
    <t>DEKALB</t>
  </si>
  <si>
    <t>ELMORE</t>
  </si>
  <si>
    <t>ESCAMBIA</t>
  </si>
  <si>
    <t>ETOWAH</t>
  </si>
  <si>
    <t>FAYETTE</t>
  </si>
  <si>
    <t>FRANKLIN</t>
  </si>
  <si>
    <t>GENEVA</t>
  </si>
  <si>
    <t>GREENE</t>
  </si>
  <si>
    <t>HALE</t>
  </si>
  <si>
    <t>HENRY</t>
  </si>
  <si>
    <t>HOUSTON</t>
  </si>
  <si>
    <t>JACKSON</t>
  </si>
  <si>
    <t>JEFFERSON</t>
  </si>
  <si>
    <t>LAMAR</t>
  </si>
  <si>
    <t>LAUDERDALE</t>
  </si>
  <si>
    <t>LAWRENCE</t>
  </si>
  <si>
    <t>LEE</t>
  </si>
  <si>
    <t>LIMESTONE</t>
  </si>
  <si>
    <t>LOWNDES</t>
  </si>
  <si>
    <t>MACON</t>
  </si>
  <si>
    <t>MADISON</t>
  </si>
  <si>
    <t>MARENGO</t>
  </si>
  <si>
    <t>MARION</t>
  </si>
  <si>
    <t>MARSHALL</t>
  </si>
  <si>
    <t>MOBILE</t>
  </si>
  <si>
    <t>MONROE</t>
  </si>
  <si>
    <t>MONTGOMERY</t>
  </si>
  <si>
    <t>MORGAN</t>
  </si>
  <si>
    <t>PERRY</t>
  </si>
  <si>
    <t>PICKENS</t>
  </si>
  <si>
    <t>PIKE</t>
  </si>
  <si>
    <t>RANDOLPH</t>
  </si>
  <si>
    <t>RUSSELL</t>
  </si>
  <si>
    <t>SHELBY</t>
  </si>
  <si>
    <t>ST.CLAIR</t>
  </si>
  <si>
    <t>SUMTER</t>
  </si>
  <si>
    <t>TALLADEGA</t>
  </si>
  <si>
    <t>TALLAPOOSA</t>
  </si>
  <si>
    <t>TUSCALOOSA</t>
  </si>
  <si>
    <t>WALKER</t>
  </si>
  <si>
    <t>WASHINGTON</t>
  </si>
  <si>
    <t>WILCOX</t>
  </si>
  <si>
    <t>WINSTON</t>
  </si>
  <si>
    <t># of Students</t>
  </si>
  <si>
    <t># with Full 
Medical Exemption</t>
  </si>
  <si>
    <t>% with Full 
Medical Exemption</t>
  </si>
  <si>
    <t># UTD with 
Partial Medical Exemption</t>
  </si>
  <si>
    <t>% UTD with 
Partial Medical Exemtion</t>
  </si>
  <si>
    <t># with Full 
Religous Exemption</t>
  </si>
  <si>
    <t>% with Full 
Religous Exemption</t>
  </si>
  <si>
    <t># UTD with 
Partial Religious Exemption</t>
  </si>
  <si>
    <t>% UTD with 
Partial Religious Exemption</t>
  </si>
  <si>
    <t>ST. CLAIR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</si>
</sst>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10" fontId="0" fillId="0" borderId="0" xfId="1" applyNumberFormat="1" applyFont="1" applyAlignment="1">
      <alignment wrapText="1"/>
    </xf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4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numFmt numFmtId="14" formatCode="0.00%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numFmt numFmtId="14" formatCode="0.00%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numFmt numFmtId="14" formatCode="0.00%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numFmt numFmtId="14" formatCode="0.00%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numFmt numFmtId="14" formatCode="0.00%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1B5F91-B133-45EE-B5CC-595D001DB572}" name="Table1" displayName="Table1" ref="A1:J69" totalsRowCount="1" headerRowDxfId="44">
  <autoFilter ref="A1:J68" xr:uid="{3B1B5F91-B133-45EE-B5CC-595D001DB572}"/>
  <tableColumns count="10">
    <tableColumn id="1" xr3:uid="{CED99D45-1EDA-4AB3-8E9A-D9761E4F92C0}" name="County"/>
    <tableColumn id="2" xr3:uid="{9B013787-AB40-4825-A420-F06FEE1E3EDA}" name="# of Students" totalsRowFunction="sum"/>
    <tableColumn id="3" xr3:uid="{318F27B5-ECBF-49F2-813E-89A604D82971}" name="# with Full _x000a_Medical Exemption" totalsRowFunction="sum"/>
    <tableColumn id="4" xr3:uid="{31B0024E-9EA3-4CA7-8CA1-C811BEACC8EA}" name="% with Full _x000a_Medical Exemption" totalsRowFunction="custom" dataDxfId="43" totalsRowDxfId="42" dataCellStyle="Percent" totalsRowCellStyle="Percent">
      <calculatedColumnFormula>Table1[[#This Row],['# with Full 
Medical Exemption]]/Table1[[#This Row],['# of Students]]</calculatedColumnFormula>
      <totalsRowFormula>Table1[[#Totals],['# with Full 
Medical Exemption]]/Table1[[#Totals],['# of Students]]</totalsRowFormula>
    </tableColumn>
    <tableColumn id="5" xr3:uid="{1DDE44E7-7C04-4056-BB45-A382E31C4DA3}" name="# UTD with _x000a_Partial Medical Exemption" totalsRowFunction="sum"/>
    <tableColumn id="6" xr3:uid="{FC3C7C1F-9466-4F8F-ACA6-C0BD6A0D4DDC}" name="% UTD with _x000a_Partial Medical Exemtion" totalsRowFunction="custom" dataDxfId="41" totalsRowDxfId="40" dataCellStyle="Percent" totalsRowCellStyle="Percent">
      <calculatedColumnFormula>Table1[[#This Row],['# UTD with 
Partial Medical Exemption]]/Table1[[#This Row],['# of Students]]</calculatedColumnFormula>
      <totalsRowFormula>Table1[[#Totals],['# UTD with 
Partial Medical Exemption]]/Table1[[#Totals],['# of Students]]</totalsRowFormula>
    </tableColumn>
    <tableColumn id="7" xr3:uid="{6DFCC77A-B927-42FA-9220-123F10F99221}" name="# with Full _x000a_Religous Exemption" totalsRowFunction="sum"/>
    <tableColumn id="8" xr3:uid="{600E5959-CB24-4AA2-A827-FF2AC36038CB}" name="% with Full _x000a_Religous Exemption" totalsRowFunction="custom" dataDxfId="39" totalsRowDxfId="38" dataCellStyle="Percent" totalsRowCellStyle="Percent">
      <calculatedColumnFormula>Table1[[#This Row],['# with Full 
Religous Exemption]]/Table1[[#This Row],['# of Students]]</calculatedColumnFormula>
      <totalsRowFormula>Table1[[#Totals],['# with Full 
Religous Exemption]]/Table1[[#Totals],['# of Students]]</totalsRowFormula>
    </tableColumn>
    <tableColumn id="9" xr3:uid="{C1BC987D-F5A7-4B8D-8F91-7C20E6573E44}" name="# UTD with _x000a_Partial Religious Exemption" totalsRowFunction="sum"/>
    <tableColumn id="10" xr3:uid="{250B4277-F99D-47A6-9A0B-630B858F8AE4}" name="% UTD with _x000a_Partial Religious Exemption" totalsRowFunction="custom" dataDxfId="37" totalsRowDxfId="36" dataCellStyle="Percent" totalsRowCellStyle="Percent">
      <calculatedColumnFormula>Table1[[#This Row],['# UTD with 
Partial Religious Exemption]]/Table1[[#This Row],['# of Students]]</calculatedColumnFormula>
      <totalsRowFormula>Table1[[#Totals],['# UTD with 
Partial Religious Exemption]]/Table1[[#Totals],['# of Students]]</totalsRowFormula>
    </tableColumn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479A03-1358-4A39-933E-C436FF890E57}" name="Table2" displayName="Table2" ref="A1:J69" totalsRowCount="1" headerRowDxfId="35">
  <autoFilter ref="A1:J68" xr:uid="{F3479A03-1358-4A39-933E-C436FF890E57}"/>
  <tableColumns count="10">
    <tableColumn id="1" xr3:uid="{430285B5-F5BA-439D-8365-024A96971664}" name="County"/>
    <tableColumn id="2" xr3:uid="{58D3528C-EC3D-42C9-8662-E04A7F8D23C8}" name="# of Students" totalsRowFunction="sum"/>
    <tableColumn id="3" xr3:uid="{3E78169A-99B7-4FF2-A1B3-F272258515AB}" name="# with Full _x000a_Medical Exemption" totalsRowFunction="sum"/>
    <tableColumn id="4" xr3:uid="{D5D74ADC-FEB6-4373-B5AB-9093292E29AE}" name="% with Full _x000a_Medical Exemption" totalsRowFunction="custom" dataDxfId="34" totalsRowDxfId="33" dataCellStyle="Percent" totalsRowCellStyle="Percent">
      <calculatedColumnFormula>Table2[[#This Row],['# with Full 
Medical Exemption]]/Table2[[#This Row],['# of Students]]</calculatedColumnFormula>
      <totalsRowFormula>Table2[[#Totals],['# with Full 
Medical Exemption]]/Table2[[#Totals],['# of Students]]</totalsRowFormula>
    </tableColumn>
    <tableColumn id="5" xr3:uid="{484F83E6-B963-4690-B97F-ECC250FBA4B7}" name="# UTD with _x000a_Partial Medical Exemption" totalsRowFunction="sum"/>
    <tableColumn id="6" xr3:uid="{B8BBB8A0-EBF3-4234-8DAB-E845FF9B1F16}" name="% UTD with _x000a_Partial Medical Exemtion" totalsRowFunction="custom" dataDxfId="32" totalsRowDxfId="31" dataCellStyle="Percent" totalsRowCellStyle="Percent">
      <calculatedColumnFormula>Table2[[#This Row],['# UTD with 
Partial Medical Exemption]]/Table2[[#This Row],['# of Students]]</calculatedColumnFormula>
      <totalsRowFormula>Table2[[#Totals],['# UTD with 
Partial Medical Exemption]]/Table2[[#Totals],['# of Students]]</totalsRowFormula>
    </tableColumn>
    <tableColumn id="7" xr3:uid="{3FC8C9A3-3240-460D-A64D-15A2AAF7CDE1}" name="# with Full _x000a_Religous Exemption" totalsRowFunction="sum"/>
    <tableColumn id="8" xr3:uid="{D7B5CBFB-109E-425B-B919-809B87C8EC31}" name="% with Full _x000a_Religous Exemption" totalsRowFunction="custom" dataDxfId="30" totalsRowDxfId="29" dataCellStyle="Percent" totalsRowCellStyle="Percent">
      <calculatedColumnFormula>Table2[[#This Row],['# with Full 
Religous Exemption]]/Table2[[#This Row],['# of Students]]</calculatedColumnFormula>
      <totalsRowFormula>Table2[[#Totals],['# with Full 
Religous Exemption]]/Table2[[#Totals],['# of Students]]</totalsRowFormula>
    </tableColumn>
    <tableColumn id="9" xr3:uid="{FC4FBECA-71E7-4A6E-82F3-58CF136D602A}" name="# UTD with _x000a_Partial Religious Exemption" totalsRowFunction="sum"/>
    <tableColumn id="10" xr3:uid="{874AB47B-8E42-453B-AA5A-14B2CBF07268}" name="% UTD with _x000a_Partial Religious Exemption" totalsRowFunction="custom" dataDxfId="28" totalsRowDxfId="27" dataCellStyle="Percent" totalsRowCellStyle="Percent">
      <calculatedColumnFormula>Table2[[#This Row],['# UTD with 
Partial Religious Exemption]]/Table2[[#This Row],['# of Students]]</calculatedColumnFormula>
      <totalsRowFormula>Table2[[#Totals],['# UTD with 
Partial Religious Exemption]]/Table2[[#Totals],['# of Students]]</totalsRowFormula>
    </tableColumn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E8995B2-8564-460C-BE63-5235E43380DE}" name="Table3" displayName="Table3" ref="A1:J69" totalsRowCount="1" headerRowDxfId="26">
  <autoFilter ref="A1:J68" xr:uid="{6E8995B2-8564-460C-BE63-5235E43380DE}"/>
  <tableColumns count="10">
    <tableColumn id="1" xr3:uid="{473C2998-8960-4910-BA7F-A9C8A401BC7D}" name="County"/>
    <tableColumn id="2" xr3:uid="{60D675DD-E180-4B4B-9899-A6C32A3CDA87}" name="# of Students" totalsRowFunction="sum"/>
    <tableColumn id="3" xr3:uid="{8A89E177-2862-4BAA-9975-86A54933641C}" name="# with Full _x000a_Medical Exemption" totalsRowFunction="sum"/>
    <tableColumn id="4" xr3:uid="{6ED88908-D0DE-436F-B4A5-7DB618F50A71}" name="% with Full _x000a_Medical Exemption" totalsRowFunction="custom" dataDxfId="25" totalsRowDxfId="24" dataCellStyle="Percent" totalsRowCellStyle="Percent">
      <calculatedColumnFormula>Table3[[#This Row],['# with Full 
Medical Exemption]]/Table3[[#This Row],['# of Students]]</calculatedColumnFormula>
      <totalsRowFormula>Table3[[#Totals],['# with Full 
Medical Exemption]]/Table3[[#Totals],['# of Students]]</totalsRowFormula>
    </tableColumn>
    <tableColumn id="5" xr3:uid="{BF8F844A-92E5-486B-8016-6F42CB716843}" name="# UTD with _x000a_Partial Medical Exemption" totalsRowFunction="sum"/>
    <tableColumn id="6" xr3:uid="{3B12B23C-57D1-408E-B2BF-BCE9E0EBA1F8}" name="% UTD with _x000a_Partial Medical Exemtion" totalsRowFunction="custom" dataDxfId="23" totalsRowDxfId="22" dataCellStyle="Percent" totalsRowCellStyle="Percent">
      <calculatedColumnFormula>Table3[[#This Row],['# UTD with 
Partial Medical Exemption]]/Table3[[#This Row],['# of Students]]</calculatedColumnFormula>
      <totalsRowFormula>Table3[[#Totals],['# UTD with 
Partial Medical Exemption]]/Table3[[#Totals],['# of Students]]</totalsRowFormula>
    </tableColumn>
    <tableColumn id="7" xr3:uid="{A83005C6-708B-45EB-8BA1-BE77D9425BAF}" name="# with Full _x000a_Religous Exemption" totalsRowFunction="sum"/>
    <tableColumn id="8" xr3:uid="{DB756EFA-7F53-413E-B920-6B91C356F74D}" name="% with Full _x000a_Religous Exemption" totalsRowFunction="custom" dataDxfId="21" totalsRowDxfId="20" dataCellStyle="Percent" totalsRowCellStyle="Percent">
      <calculatedColumnFormula>Table3[[#This Row],['# with Full 
Religous Exemption]]/Table3[[#This Row],['# of Students]]</calculatedColumnFormula>
      <totalsRowFormula>Table3[[#Totals],['# with Full 
Religous Exemption]]/Table3[[#Totals],['# of Students]]</totalsRowFormula>
    </tableColumn>
    <tableColumn id="9" xr3:uid="{9F07180D-7DBB-4D99-8593-4280FAE3D2CF}" name="# UTD with _x000a_Partial Religious Exemption" totalsRowFunction="sum"/>
    <tableColumn id="10" xr3:uid="{BE3AE155-8E1A-4596-A0F1-CB586CD89B30}" name="% UTD with _x000a_Partial Religious Exemption" totalsRowFunction="custom" dataDxfId="19" totalsRowDxfId="18" dataCellStyle="Percent" totalsRowCellStyle="Percent">
      <calculatedColumnFormula>Table3[[#This Row],['# UTD with 
Partial Religious Exemption]]/Table3[[#This Row],['# of Students]]</calculatedColumnFormula>
      <totalsRowFormula>Table3[[#Totals],['# UTD with 
Partial Religious Exemption]]/Table3[[#Totals],['# of Students]]</totalsRowFormula>
    </tableColumn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E4FD396-6B41-46C2-84E5-2F71C4309A18}" name="Table4" displayName="Table4" ref="A1:J69" totalsRowCount="1" headerRowDxfId="17">
  <autoFilter ref="A1:J68" xr:uid="{AE4FD396-6B41-46C2-84E5-2F71C4309A18}"/>
  <tableColumns count="10">
    <tableColumn id="1" xr3:uid="{6610CA64-DE13-4FE3-BFFA-BFE93C5FA19B}" name="County"/>
    <tableColumn id="2" xr3:uid="{B7C52502-1F29-4EFB-9201-E0448000F2C9}" name="# of Students" totalsRowFunction="sum"/>
    <tableColumn id="3" xr3:uid="{BF996550-E85E-40E3-99C7-277CB86210AE}" name="# with Full _x000a_Medical Exemption" totalsRowFunction="sum"/>
    <tableColumn id="4" xr3:uid="{AF6C291A-A1A9-4700-94A5-E99F98A39E0B}" name="% with Full _x000a_Medical Exemption" totalsRowFunction="custom" dataDxfId="16" totalsRowDxfId="15" dataCellStyle="Percent" totalsRowCellStyle="Percent">
      <calculatedColumnFormula>Table4[[#This Row],['# with Full 
Medical Exemption]]/Table4[[#This Row],['# of Students]]</calculatedColumnFormula>
      <totalsRowFormula>Table4[[#Totals],['# with Full 
Medical Exemption]]/Table4[[#Totals],['# of Students]]</totalsRowFormula>
    </tableColumn>
    <tableColumn id="5" xr3:uid="{47D2064D-F267-4894-B25E-EE8424DB6E74}" name="# UTD with _x000a_Partial Medical Exemption" totalsRowFunction="sum"/>
    <tableColumn id="6" xr3:uid="{85A74ADA-A9E7-427F-9421-AE4EEC914C8F}" name="% UTD with _x000a_Partial Medical Exemtion" totalsRowFunction="custom" dataDxfId="14" totalsRowDxfId="13" dataCellStyle="Percent" totalsRowCellStyle="Percent">
      <calculatedColumnFormula>Table4[[#This Row],['# UTD with 
Partial Medical Exemption]]/Table4[[#This Row],['# of Students]]</calculatedColumnFormula>
      <totalsRowFormula>Table4[[#Totals],['# UTD with 
Partial Medical Exemption]]/Table4[[#Totals],['# of Students]]</totalsRowFormula>
    </tableColumn>
    <tableColumn id="7" xr3:uid="{F0091610-3007-4797-8B8D-503B92A4AB83}" name="# with Full _x000a_Religous Exemption" totalsRowFunction="sum"/>
    <tableColumn id="8" xr3:uid="{C31E6237-0783-44D7-8A88-36BB9F7CC68B}" name="% with Full _x000a_Religous Exemption" totalsRowFunction="custom" dataDxfId="12" totalsRowDxfId="11" dataCellStyle="Percent" totalsRowCellStyle="Percent">
      <calculatedColumnFormula>Table4[[#This Row],['# with Full 
Religous Exemption]]/Table4[[#This Row],['# of Students]]</calculatedColumnFormula>
      <totalsRowFormula>Table4[[#Totals],['# with Full 
Religous Exemption]]/Table4[[#Totals],['# of Students]]</totalsRowFormula>
    </tableColumn>
    <tableColumn id="9" xr3:uid="{842E3BDC-5640-4592-8AE5-F06A886B61D7}" name="# UTD with _x000a_Partial Religious Exemption" totalsRowFunction="sum"/>
    <tableColumn id="10" xr3:uid="{15BF053A-593C-492E-A790-AEFB33E8DA59}" name="% UTD with _x000a_Partial Religious Exemption" totalsRowFunction="custom" dataDxfId="10" totalsRowDxfId="9" dataCellStyle="Percent" totalsRowCellStyle="Percent">
      <calculatedColumnFormula>Table4[[#This Row],['# UTD with 
Partial Religious Exemption]]/Table4[[#This Row],['# of Students]]</calculatedColumnFormula>
      <totalsRowFormula>Table4[[#Totals],['# UTD with 
Partial Religious Exemption]]/Table4[[#Totals],['# of Students]]</totalsRowFormula>
    </tableColumn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CE09E66-8620-41D2-99F2-B081E6F1F5F0}" name="Table5" displayName="Table5" ref="A1:J69" totalsRowCount="1" headerRowDxfId="8">
  <autoFilter ref="A1:J68" xr:uid="{4CE09E66-8620-41D2-99F2-B081E6F1F5F0}"/>
  <tableColumns count="10">
    <tableColumn id="1" xr3:uid="{E2F23430-C863-4D96-8260-D2E5F5CB963F}" name="County"/>
    <tableColumn id="2" xr3:uid="{A3515BE2-4465-4B59-A3AC-0636732287A8}" name="# of Students" totalsRowFunction="sum"/>
    <tableColumn id="3" xr3:uid="{BF1529FB-8736-4AA4-BCCE-6C2369517156}" name="# with Full _x000a_Medical Exemption" totalsRowFunction="sum"/>
    <tableColumn id="4" xr3:uid="{34082F5C-4AC7-4D4C-B142-233BFAB36DBA}" name="% with Full _x000a_Medical Exemption" totalsRowFunction="custom" dataDxfId="7" totalsRowDxfId="6" dataCellStyle="Percent" totalsRowCellStyle="Percent">
      <calculatedColumnFormula>Table5[[#This Row],['# with Full 
Medical Exemption]]/Table5[[#This Row],['# of Students]]</calculatedColumnFormula>
      <totalsRowFormula>Table5[[#Totals],['# with Full 
Medical Exemption]]/Table5[[#Totals],['# of Students]]</totalsRowFormula>
    </tableColumn>
    <tableColumn id="5" xr3:uid="{2953BDB0-AD1F-45F8-A9B9-1A8C72350F01}" name="# UTD with _x000a_Partial Medical Exemption" totalsRowFunction="sum"/>
    <tableColumn id="6" xr3:uid="{D46491F0-165C-4ABC-8B9B-1A942654AEA8}" name="% UTD with _x000a_Partial Medical Exemtion" totalsRowFunction="custom" dataDxfId="5" totalsRowDxfId="4" dataCellStyle="Percent" totalsRowCellStyle="Percent">
      <calculatedColumnFormula>Table5[[#This Row],['# UTD with 
Partial Medical Exemption]]/Table5[[#This Row],['# of Students]]</calculatedColumnFormula>
      <totalsRowFormula>Table5[[#Totals],['# UTD with 
Partial Medical Exemption]]/Table5[[#Totals],['# of Students]]</totalsRowFormula>
    </tableColumn>
    <tableColumn id="7" xr3:uid="{43395863-F2CE-4CD2-9A8B-1E0BAA4A646A}" name="# with Full _x000a_Religous Exemption" totalsRowFunction="sum"/>
    <tableColumn id="8" xr3:uid="{859F5D40-D404-4D6F-AB05-28B761FE3A26}" name="% with Full _x000a_Religous Exemption" totalsRowFunction="custom" dataDxfId="3" totalsRowDxfId="2" dataCellStyle="Percent" totalsRowCellStyle="Percent">
      <calculatedColumnFormula>Table5[[#This Row],['# with Full 
Religous Exemption]]/Table5[[#This Row],['# of Students]]</calculatedColumnFormula>
      <totalsRowFormula>Table5[[#Totals],['# with Full 
Religous Exemption]]/Table5[[#Totals],['# of Students]]</totalsRowFormula>
    </tableColumn>
    <tableColumn id="9" xr3:uid="{115A3D3B-DE8D-4AE8-AFF1-A5DD84B830C1}" name="# UTD with _x000a_Partial Religious Exemption" totalsRowFunction="sum"/>
    <tableColumn id="10" xr3:uid="{62D897CF-376C-43B8-8C0C-62B83FCDEEEE}" name="% UTD with _x000a_Partial Religious Exemption" totalsRowFunction="custom" dataDxfId="1" totalsRowDxfId="0" dataCellStyle="Percent" totalsRowCellStyle="Percent">
      <calculatedColumnFormula>Table5[[#This Row],['# UTD with 
Partial Religious Exemption]]/Table5[[#This Row],['# of Students]]</calculatedColumnFormula>
      <totalsRowFormula>Table5[[#Totals],['# UTD with 
Partial Religious Exemption]]/Table5[[#Totals],['# of Students]]</totalsRowFormula>
    </tableColumn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12F2E-226B-4E01-8D15-CF65345EC1D2}">
  <dimension ref="A1:J69"/>
  <sheetViews>
    <sheetView tabSelected="1" workbookViewId="0">
      <selection activeCell="B8" sqref="B8"/>
    </sheetView>
  </sheetViews>
  <sheetFormatPr defaultRowHeight="14.5" x14ac:dyDescent="0.35"/>
  <cols>
    <col min="1" max="1" width="14.26953125" bestFit="1" customWidth="1"/>
    <col min="2" max="2" width="14.81640625" bestFit="1" customWidth="1"/>
    <col min="3" max="3" width="20.7265625" bestFit="1" customWidth="1"/>
    <col min="4" max="4" width="20.7265625" style="3" bestFit="1" customWidth="1"/>
    <col min="5" max="5" width="27" bestFit="1" customWidth="1"/>
    <col min="6" max="6" width="25.81640625" style="3" bestFit="1" customWidth="1"/>
    <col min="7" max="7" width="21.1796875" bestFit="1" customWidth="1"/>
    <col min="8" max="8" width="21.1796875" style="3" bestFit="1" customWidth="1"/>
    <col min="9" max="9" width="17.7265625" bestFit="1" customWidth="1"/>
    <col min="10" max="10" width="28.1796875" style="3" bestFit="1" customWidth="1"/>
  </cols>
  <sheetData>
    <row r="1" spans="1:10" ht="43.5" x14ac:dyDescent="0.35">
      <c r="A1" t="s">
        <v>0</v>
      </c>
      <c r="B1" t="s">
        <v>68</v>
      </c>
      <c r="C1" s="1" t="s">
        <v>69</v>
      </c>
      <c r="D1" s="2" t="s">
        <v>70</v>
      </c>
      <c r="E1" s="1" t="s">
        <v>71</v>
      </c>
      <c r="F1" s="2" t="s">
        <v>72</v>
      </c>
      <c r="G1" s="1" t="s">
        <v>73</v>
      </c>
      <c r="H1" s="2" t="s">
        <v>74</v>
      </c>
      <c r="I1" s="1" t="s">
        <v>75</v>
      </c>
      <c r="J1" s="2" t="s">
        <v>76</v>
      </c>
    </row>
    <row r="2" spans="1:10" x14ac:dyDescent="0.35">
      <c r="A2" t="s">
        <v>1</v>
      </c>
      <c r="B2">
        <v>739</v>
      </c>
      <c r="C2">
        <v>0</v>
      </c>
      <c r="D2" s="3">
        <f>Table1[[#This Row],['# with Full 
Medical Exemption]]/Table1[[#This Row],['# of Students]]</f>
        <v>0</v>
      </c>
      <c r="E2">
        <v>2</v>
      </c>
      <c r="F2" s="3">
        <f>Table1[[#This Row],['# UTD with 
Partial Medical Exemption]]/Table1[[#This Row],['# of Students]]</f>
        <v>2.7063599458728013E-3</v>
      </c>
      <c r="G2">
        <v>2</v>
      </c>
      <c r="H2" s="3">
        <f>Table1[[#This Row],['# with Full 
Religous Exemption]]/Table1[[#This Row],['# of Students]]</f>
        <v>2.7063599458728013E-3</v>
      </c>
      <c r="I2">
        <v>0</v>
      </c>
      <c r="J2" s="3">
        <f>Table1[[#This Row],['# UTD with 
Partial Religious Exemption]]/Table1[[#This Row],['# of Students]]</f>
        <v>0</v>
      </c>
    </row>
    <row r="3" spans="1:10" x14ac:dyDescent="0.35">
      <c r="A3" t="s">
        <v>2</v>
      </c>
      <c r="B3">
        <v>2852</v>
      </c>
      <c r="C3">
        <v>2</v>
      </c>
      <c r="D3" s="3">
        <f>Table1[[#This Row],['# with Full 
Medical Exemption]]/Table1[[#This Row],['# of Students]]</f>
        <v>7.0126227208976155E-4</v>
      </c>
      <c r="E3">
        <v>6</v>
      </c>
      <c r="F3" s="3">
        <f>Table1[[#This Row],['# UTD with 
Partial Medical Exemption]]/Table1[[#This Row],['# of Students]]</f>
        <v>2.1037868162692847E-3</v>
      </c>
      <c r="G3">
        <v>44</v>
      </c>
      <c r="H3" s="3">
        <f>Table1[[#This Row],['# with Full 
Religous Exemption]]/Table1[[#This Row],['# of Students]]</f>
        <v>1.5427769985974754E-2</v>
      </c>
      <c r="I3">
        <v>0</v>
      </c>
      <c r="J3" s="3">
        <f>Table1[[#This Row],['# UTD with 
Partial Religious Exemption]]/Table1[[#This Row],['# of Students]]</f>
        <v>0</v>
      </c>
    </row>
    <row r="4" spans="1:10" x14ac:dyDescent="0.35">
      <c r="A4" t="s">
        <v>3</v>
      </c>
      <c r="B4">
        <v>616</v>
      </c>
      <c r="C4">
        <v>0</v>
      </c>
      <c r="D4" s="3">
        <f>Table1[[#This Row],['# with Full 
Medical Exemption]]/Table1[[#This Row],['# of Students]]</f>
        <v>0</v>
      </c>
      <c r="E4">
        <v>0</v>
      </c>
      <c r="F4" s="3">
        <f>Table1[[#This Row],['# UTD with 
Partial Medical Exemption]]/Table1[[#This Row],['# of Students]]</f>
        <v>0</v>
      </c>
      <c r="G4">
        <v>8</v>
      </c>
      <c r="H4" s="3">
        <f>Table1[[#This Row],['# with Full 
Religous Exemption]]/Table1[[#This Row],['# of Students]]</f>
        <v>1.2987012987012988E-2</v>
      </c>
      <c r="I4">
        <v>0</v>
      </c>
      <c r="J4" s="3">
        <f>Table1[[#This Row],['# UTD with 
Partial Religious Exemption]]/Table1[[#This Row],['# of Students]]</f>
        <v>0</v>
      </c>
    </row>
    <row r="5" spans="1:10" x14ac:dyDescent="0.35">
      <c r="A5" t="s">
        <v>4</v>
      </c>
      <c r="B5">
        <v>262</v>
      </c>
      <c r="C5">
        <v>0</v>
      </c>
      <c r="D5" s="3">
        <f>Table1[[#This Row],['# with Full 
Medical Exemption]]/Table1[[#This Row],['# of Students]]</f>
        <v>0</v>
      </c>
      <c r="E5">
        <v>0</v>
      </c>
      <c r="F5" s="3">
        <f>Table1[[#This Row],['# UTD with 
Partial Medical Exemption]]/Table1[[#This Row],['# of Students]]</f>
        <v>0</v>
      </c>
      <c r="G5">
        <v>0</v>
      </c>
      <c r="H5" s="3">
        <f>Table1[[#This Row],['# with Full 
Religous Exemption]]/Table1[[#This Row],['# of Students]]</f>
        <v>0</v>
      </c>
      <c r="I5">
        <v>0</v>
      </c>
      <c r="J5" s="3">
        <f>Table1[[#This Row],['# UTD with 
Partial Religious Exemption]]/Table1[[#This Row],['# of Students]]</f>
        <v>0</v>
      </c>
    </row>
    <row r="6" spans="1:10" x14ac:dyDescent="0.35">
      <c r="A6" t="s">
        <v>5</v>
      </c>
      <c r="B6">
        <v>735</v>
      </c>
      <c r="C6">
        <v>3</v>
      </c>
      <c r="D6" s="3">
        <f>Table1[[#This Row],['# with Full 
Medical Exemption]]/Table1[[#This Row],['# of Students]]</f>
        <v>4.0816326530612249E-3</v>
      </c>
      <c r="E6">
        <v>0</v>
      </c>
      <c r="F6" s="3">
        <f>Table1[[#This Row],['# UTD with 
Partial Medical Exemption]]/Table1[[#This Row],['# of Students]]</f>
        <v>0</v>
      </c>
      <c r="G6">
        <v>1</v>
      </c>
      <c r="H6" s="3">
        <f>Table1[[#This Row],['# with Full 
Religous Exemption]]/Table1[[#This Row],['# of Students]]</f>
        <v>1.3605442176870747E-3</v>
      </c>
      <c r="I6">
        <v>0</v>
      </c>
      <c r="J6" s="3">
        <f>Table1[[#This Row],['# UTD with 
Partial Religious Exemption]]/Table1[[#This Row],['# of Students]]</f>
        <v>0</v>
      </c>
    </row>
    <row r="7" spans="1:10" x14ac:dyDescent="0.35">
      <c r="A7" t="s">
        <v>6</v>
      </c>
      <c r="B7">
        <v>114</v>
      </c>
      <c r="C7">
        <v>0</v>
      </c>
      <c r="D7" s="3">
        <f>Table1[[#This Row],['# with Full 
Medical Exemption]]/Table1[[#This Row],['# of Students]]</f>
        <v>0</v>
      </c>
      <c r="E7">
        <v>0</v>
      </c>
      <c r="F7" s="3">
        <f>Table1[[#This Row],['# UTD with 
Partial Medical Exemption]]/Table1[[#This Row],['# of Students]]</f>
        <v>0</v>
      </c>
      <c r="G7">
        <v>0</v>
      </c>
      <c r="H7" s="3">
        <f>Table1[[#This Row],['# with Full 
Religous Exemption]]/Table1[[#This Row],['# of Students]]</f>
        <v>0</v>
      </c>
      <c r="I7">
        <v>0</v>
      </c>
      <c r="J7" s="3">
        <f>Table1[[#This Row],['# UTD with 
Partial Religious Exemption]]/Table1[[#This Row],['# of Students]]</f>
        <v>0</v>
      </c>
    </row>
    <row r="8" spans="1:10" x14ac:dyDescent="0.35">
      <c r="A8" t="s">
        <v>7</v>
      </c>
      <c r="B8">
        <v>273</v>
      </c>
      <c r="C8">
        <v>0</v>
      </c>
      <c r="D8" s="3">
        <f>Table1[[#This Row],['# with Full 
Medical Exemption]]/Table1[[#This Row],['# of Students]]</f>
        <v>0</v>
      </c>
      <c r="E8">
        <v>1</v>
      </c>
      <c r="F8" s="3">
        <f>Table1[[#This Row],['# UTD with 
Partial Medical Exemption]]/Table1[[#This Row],['# of Students]]</f>
        <v>3.663003663003663E-3</v>
      </c>
      <c r="G8">
        <v>1</v>
      </c>
      <c r="H8" s="3">
        <f>Table1[[#This Row],['# with Full 
Religous Exemption]]/Table1[[#This Row],['# of Students]]</f>
        <v>3.663003663003663E-3</v>
      </c>
      <c r="I8">
        <v>0</v>
      </c>
      <c r="J8" s="3">
        <f>Table1[[#This Row],['# UTD with 
Partial Religious Exemption]]/Table1[[#This Row],['# of Students]]</f>
        <v>0</v>
      </c>
    </row>
    <row r="9" spans="1:10" x14ac:dyDescent="0.35">
      <c r="A9" t="s">
        <v>8</v>
      </c>
      <c r="B9">
        <v>1348</v>
      </c>
      <c r="C9">
        <v>0</v>
      </c>
      <c r="D9" s="3">
        <f>Table1[[#This Row],['# with Full 
Medical Exemption]]/Table1[[#This Row],['# of Students]]</f>
        <v>0</v>
      </c>
      <c r="E9">
        <v>0</v>
      </c>
      <c r="F9" s="3">
        <f>Table1[[#This Row],['# UTD with 
Partial Medical Exemption]]/Table1[[#This Row],['# of Students]]</f>
        <v>0</v>
      </c>
      <c r="G9">
        <v>6</v>
      </c>
      <c r="H9" s="3">
        <f>Table1[[#This Row],['# with Full 
Religous Exemption]]/Table1[[#This Row],['# of Students]]</f>
        <v>4.4510385756676559E-3</v>
      </c>
      <c r="I9">
        <v>0</v>
      </c>
      <c r="J9" s="3">
        <f>Table1[[#This Row],['# UTD with 
Partial Religious Exemption]]/Table1[[#This Row],['# of Students]]</f>
        <v>0</v>
      </c>
    </row>
    <row r="10" spans="1:10" x14ac:dyDescent="0.35">
      <c r="A10" t="s">
        <v>9</v>
      </c>
      <c r="B10">
        <v>357</v>
      </c>
      <c r="C10">
        <v>0</v>
      </c>
      <c r="D10" s="3">
        <f>Table1[[#This Row],['# with Full 
Medical Exemption]]/Table1[[#This Row],['# of Students]]</f>
        <v>0</v>
      </c>
      <c r="E10">
        <v>0</v>
      </c>
      <c r="F10" s="3">
        <f>Table1[[#This Row],['# UTD with 
Partial Medical Exemption]]/Table1[[#This Row],['# of Students]]</f>
        <v>0</v>
      </c>
      <c r="G10">
        <v>0</v>
      </c>
      <c r="H10" s="3">
        <f>Table1[[#This Row],['# with Full 
Religous Exemption]]/Table1[[#This Row],['# of Students]]</f>
        <v>0</v>
      </c>
      <c r="I10">
        <v>0</v>
      </c>
      <c r="J10" s="3">
        <f>Table1[[#This Row],['# UTD with 
Partial Religious Exemption]]/Table1[[#This Row],['# of Students]]</f>
        <v>0</v>
      </c>
    </row>
    <row r="11" spans="1:10" x14ac:dyDescent="0.35">
      <c r="A11" t="s">
        <v>10</v>
      </c>
      <c r="B11">
        <v>284</v>
      </c>
      <c r="C11">
        <v>0</v>
      </c>
      <c r="D11" s="3">
        <f>Table1[[#This Row],['# with Full 
Medical Exemption]]/Table1[[#This Row],['# of Students]]</f>
        <v>0</v>
      </c>
      <c r="E11">
        <v>0</v>
      </c>
      <c r="F11" s="3">
        <f>Table1[[#This Row],['# UTD with 
Partial Medical Exemption]]/Table1[[#This Row],['# of Students]]</f>
        <v>0</v>
      </c>
      <c r="G11">
        <v>5</v>
      </c>
      <c r="H11" s="3">
        <f>Table1[[#This Row],['# with Full 
Religous Exemption]]/Table1[[#This Row],['# of Students]]</f>
        <v>1.7605633802816902E-2</v>
      </c>
      <c r="I11">
        <v>0</v>
      </c>
      <c r="J11" s="3">
        <f>Table1[[#This Row],['# UTD with 
Partial Religious Exemption]]/Table1[[#This Row],['# of Students]]</f>
        <v>0</v>
      </c>
    </row>
    <row r="12" spans="1:10" x14ac:dyDescent="0.35">
      <c r="A12" t="s">
        <v>11</v>
      </c>
      <c r="B12">
        <v>543</v>
      </c>
      <c r="C12">
        <v>0</v>
      </c>
      <c r="D12" s="3">
        <f>Table1[[#This Row],['# with Full 
Medical Exemption]]/Table1[[#This Row],['# of Students]]</f>
        <v>0</v>
      </c>
      <c r="E12">
        <v>0</v>
      </c>
      <c r="F12" s="3">
        <f>Table1[[#This Row],['# UTD with 
Partial Medical Exemption]]/Table1[[#This Row],['# of Students]]</f>
        <v>0</v>
      </c>
      <c r="G12">
        <v>4</v>
      </c>
      <c r="H12" s="3">
        <f>Table1[[#This Row],['# with Full 
Religous Exemption]]/Table1[[#This Row],['# of Students]]</f>
        <v>7.3664825046040518E-3</v>
      </c>
      <c r="I12">
        <v>0</v>
      </c>
      <c r="J12" s="3">
        <f>Table1[[#This Row],['# UTD with 
Partial Religious Exemption]]/Table1[[#This Row],['# of Students]]</f>
        <v>0</v>
      </c>
    </row>
    <row r="13" spans="1:10" x14ac:dyDescent="0.35">
      <c r="A13" t="s">
        <v>12</v>
      </c>
      <c r="B13">
        <v>125</v>
      </c>
      <c r="C13">
        <v>0</v>
      </c>
      <c r="D13" s="3">
        <f>Table1[[#This Row],['# with Full 
Medical Exemption]]/Table1[[#This Row],['# of Students]]</f>
        <v>0</v>
      </c>
      <c r="E13">
        <v>0</v>
      </c>
      <c r="F13" s="3">
        <f>Table1[[#This Row],['# UTD with 
Partial Medical Exemption]]/Table1[[#This Row],['# of Students]]</f>
        <v>0</v>
      </c>
      <c r="G13">
        <v>0</v>
      </c>
      <c r="H13" s="3">
        <f>Table1[[#This Row],['# with Full 
Religous Exemption]]/Table1[[#This Row],['# of Students]]</f>
        <v>0</v>
      </c>
      <c r="I13">
        <v>0</v>
      </c>
      <c r="J13" s="3">
        <f>Table1[[#This Row],['# UTD with 
Partial Religious Exemption]]/Table1[[#This Row],['# of Students]]</f>
        <v>0</v>
      </c>
    </row>
    <row r="14" spans="1:10" x14ac:dyDescent="0.35">
      <c r="A14" t="s">
        <v>13</v>
      </c>
      <c r="B14">
        <v>289</v>
      </c>
      <c r="C14">
        <v>0</v>
      </c>
      <c r="D14" s="3">
        <f>Table1[[#This Row],['# with Full 
Medical Exemption]]/Table1[[#This Row],['# of Students]]</f>
        <v>0</v>
      </c>
      <c r="E14">
        <v>0</v>
      </c>
      <c r="F14" s="3">
        <f>Table1[[#This Row],['# UTD with 
Partial Medical Exemption]]/Table1[[#This Row],['# of Students]]</f>
        <v>0</v>
      </c>
      <c r="G14">
        <v>0</v>
      </c>
      <c r="H14" s="3">
        <f>Table1[[#This Row],['# with Full 
Religous Exemption]]/Table1[[#This Row],['# of Students]]</f>
        <v>0</v>
      </c>
      <c r="I14">
        <v>0</v>
      </c>
      <c r="J14" s="3">
        <f>Table1[[#This Row],['# UTD with 
Partial Religious Exemption]]/Table1[[#This Row],['# of Students]]</f>
        <v>0</v>
      </c>
    </row>
    <row r="15" spans="1:10" x14ac:dyDescent="0.35">
      <c r="A15" t="s">
        <v>14</v>
      </c>
      <c r="B15">
        <v>173</v>
      </c>
      <c r="C15">
        <v>0</v>
      </c>
      <c r="D15" s="3">
        <f>Table1[[#This Row],['# with Full 
Medical Exemption]]/Table1[[#This Row],['# of Students]]</f>
        <v>0</v>
      </c>
      <c r="E15">
        <v>0</v>
      </c>
      <c r="F15" s="3">
        <f>Table1[[#This Row],['# UTD with 
Partial Medical Exemption]]/Table1[[#This Row],['# of Students]]</f>
        <v>0</v>
      </c>
      <c r="G15">
        <v>0</v>
      </c>
      <c r="H15" s="3">
        <f>Table1[[#This Row],['# with Full 
Religous Exemption]]/Table1[[#This Row],['# of Students]]</f>
        <v>0</v>
      </c>
      <c r="I15">
        <v>0</v>
      </c>
      <c r="J15" s="3">
        <f>Table1[[#This Row],['# UTD with 
Partial Religious Exemption]]/Table1[[#This Row],['# of Students]]</f>
        <v>0</v>
      </c>
    </row>
    <row r="16" spans="1:10" x14ac:dyDescent="0.35">
      <c r="A16" t="s">
        <v>15</v>
      </c>
      <c r="B16">
        <v>197</v>
      </c>
      <c r="C16">
        <v>1</v>
      </c>
      <c r="D16" s="3">
        <f>Table1[[#This Row],['# with Full 
Medical Exemption]]/Table1[[#This Row],['# of Students]]</f>
        <v>5.076142131979695E-3</v>
      </c>
      <c r="E16">
        <v>0</v>
      </c>
      <c r="F16" s="3">
        <f>Table1[[#This Row],['# UTD with 
Partial Medical Exemption]]/Table1[[#This Row],['# of Students]]</f>
        <v>0</v>
      </c>
      <c r="G16">
        <v>1</v>
      </c>
      <c r="H16" s="3">
        <f>Table1[[#This Row],['# with Full 
Religous Exemption]]/Table1[[#This Row],['# of Students]]</f>
        <v>5.076142131979695E-3</v>
      </c>
      <c r="I16">
        <v>0</v>
      </c>
      <c r="J16" s="3">
        <f>Table1[[#This Row],['# UTD with 
Partial Religious Exemption]]/Table1[[#This Row],['# of Students]]</f>
        <v>0</v>
      </c>
    </row>
    <row r="17" spans="1:10" x14ac:dyDescent="0.35">
      <c r="A17" t="s">
        <v>16</v>
      </c>
      <c r="B17">
        <v>780</v>
      </c>
      <c r="C17">
        <v>0</v>
      </c>
      <c r="D17" s="3">
        <f>Table1[[#This Row],['# with Full 
Medical Exemption]]/Table1[[#This Row],['# of Students]]</f>
        <v>0</v>
      </c>
      <c r="E17">
        <v>0</v>
      </c>
      <c r="F17" s="3">
        <f>Table1[[#This Row],['# UTD with 
Partial Medical Exemption]]/Table1[[#This Row],['# of Students]]</f>
        <v>0</v>
      </c>
      <c r="G17">
        <v>10</v>
      </c>
      <c r="H17" s="3">
        <f>Table1[[#This Row],['# with Full 
Religous Exemption]]/Table1[[#This Row],['# of Students]]</f>
        <v>1.282051282051282E-2</v>
      </c>
      <c r="I17">
        <v>0</v>
      </c>
      <c r="J17" s="3">
        <f>Table1[[#This Row],['# UTD with 
Partial Religious Exemption]]/Table1[[#This Row],['# of Students]]</f>
        <v>0</v>
      </c>
    </row>
    <row r="18" spans="1:10" x14ac:dyDescent="0.35">
      <c r="A18" t="s">
        <v>17</v>
      </c>
      <c r="B18">
        <v>610</v>
      </c>
      <c r="C18">
        <v>0</v>
      </c>
      <c r="D18" s="3">
        <f>Table1[[#This Row],['# with Full 
Medical Exemption]]/Table1[[#This Row],['# of Students]]</f>
        <v>0</v>
      </c>
      <c r="E18">
        <v>0</v>
      </c>
      <c r="F18" s="3">
        <f>Table1[[#This Row],['# UTD with 
Partial Medical Exemption]]/Table1[[#This Row],['# of Students]]</f>
        <v>0</v>
      </c>
      <c r="G18">
        <v>8</v>
      </c>
      <c r="H18" s="3">
        <f>Table1[[#This Row],['# with Full 
Religous Exemption]]/Table1[[#This Row],['# of Students]]</f>
        <v>1.3114754098360656E-2</v>
      </c>
      <c r="I18">
        <v>0</v>
      </c>
      <c r="J18" s="3">
        <f>Table1[[#This Row],['# UTD with 
Partial Religious Exemption]]/Table1[[#This Row],['# of Students]]</f>
        <v>0</v>
      </c>
    </row>
    <row r="19" spans="1:10" x14ac:dyDescent="0.35">
      <c r="A19" t="s">
        <v>18</v>
      </c>
      <c r="B19">
        <v>103</v>
      </c>
      <c r="C19">
        <v>0</v>
      </c>
      <c r="D19" s="3">
        <f>Table1[[#This Row],['# with Full 
Medical Exemption]]/Table1[[#This Row],['# of Students]]</f>
        <v>0</v>
      </c>
      <c r="E19">
        <v>0</v>
      </c>
      <c r="F19" s="3">
        <f>Table1[[#This Row],['# UTD with 
Partial Medical Exemption]]/Table1[[#This Row],['# of Students]]</f>
        <v>0</v>
      </c>
      <c r="G19">
        <v>0</v>
      </c>
      <c r="H19" s="3">
        <f>Table1[[#This Row],['# with Full 
Religous Exemption]]/Table1[[#This Row],['# of Students]]</f>
        <v>0</v>
      </c>
      <c r="I19">
        <v>0</v>
      </c>
      <c r="J19" s="3">
        <f>Table1[[#This Row],['# UTD with 
Partial Religious Exemption]]/Table1[[#This Row],['# of Students]]</f>
        <v>0</v>
      </c>
    </row>
    <row r="20" spans="1:10" x14ac:dyDescent="0.35">
      <c r="A20" t="s">
        <v>19</v>
      </c>
      <c r="B20">
        <v>10</v>
      </c>
      <c r="C20">
        <v>0</v>
      </c>
      <c r="D20" s="3">
        <f>Table1[[#This Row],['# with Full 
Medical Exemption]]/Table1[[#This Row],['# of Students]]</f>
        <v>0</v>
      </c>
      <c r="E20">
        <v>0</v>
      </c>
      <c r="F20" s="3">
        <f>Table1[[#This Row],['# UTD with 
Partial Medical Exemption]]/Table1[[#This Row],['# of Students]]</f>
        <v>0</v>
      </c>
      <c r="G20">
        <v>0</v>
      </c>
      <c r="H20" s="3">
        <f>Table1[[#This Row],['# with Full 
Religous Exemption]]/Table1[[#This Row],['# of Students]]</f>
        <v>0</v>
      </c>
      <c r="I20">
        <v>0</v>
      </c>
      <c r="J20" s="3">
        <f>Table1[[#This Row],['# UTD with 
Partial Religious Exemption]]/Table1[[#This Row],['# of Students]]</f>
        <v>0</v>
      </c>
    </row>
    <row r="21" spans="1:10" x14ac:dyDescent="0.35">
      <c r="A21" t="s">
        <v>20</v>
      </c>
      <c r="B21">
        <v>471</v>
      </c>
      <c r="C21">
        <v>0</v>
      </c>
      <c r="D21" s="3">
        <f>Table1[[#This Row],['# with Full 
Medical Exemption]]/Table1[[#This Row],['# of Students]]</f>
        <v>0</v>
      </c>
      <c r="E21">
        <v>1</v>
      </c>
      <c r="F21" s="3">
        <f>Table1[[#This Row],['# UTD with 
Partial Medical Exemption]]/Table1[[#This Row],['# of Students]]</f>
        <v>2.1231422505307855E-3</v>
      </c>
      <c r="G21">
        <v>2</v>
      </c>
      <c r="H21" s="3">
        <f>Table1[[#This Row],['# with Full 
Religous Exemption]]/Table1[[#This Row],['# of Students]]</f>
        <v>4.246284501061571E-3</v>
      </c>
      <c r="I21">
        <v>0</v>
      </c>
      <c r="J21" s="3">
        <f>Table1[[#This Row],['# UTD with 
Partial Religious Exemption]]/Table1[[#This Row],['# of Students]]</f>
        <v>0</v>
      </c>
    </row>
    <row r="22" spans="1:10" x14ac:dyDescent="0.35">
      <c r="A22" t="s">
        <v>21</v>
      </c>
      <c r="B22">
        <v>184</v>
      </c>
      <c r="C22">
        <v>0</v>
      </c>
      <c r="D22" s="3">
        <f>Table1[[#This Row],['# with Full 
Medical Exemption]]/Table1[[#This Row],['# of Students]]</f>
        <v>0</v>
      </c>
      <c r="E22">
        <v>0</v>
      </c>
      <c r="F22" s="3">
        <f>Table1[[#This Row],['# UTD with 
Partial Medical Exemption]]/Table1[[#This Row],['# of Students]]</f>
        <v>0</v>
      </c>
      <c r="G22">
        <v>0</v>
      </c>
      <c r="H22" s="3">
        <f>Table1[[#This Row],['# with Full 
Religous Exemption]]/Table1[[#This Row],['# of Students]]</f>
        <v>0</v>
      </c>
      <c r="I22">
        <v>0</v>
      </c>
      <c r="J22" s="3">
        <f>Table1[[#This Row],['# UTD with 
Partial Religious Exemption]]/Table1[[#This Row],['# of Students]]</f>
        <v>0</v>
      </c>
    </row>
    <row r="23" spans="1:10" x14ac:dyDescent="0.35">
      <c r="A23" t="s">
        <v>22</v>
      </c>
      <c r="B23">
        <v>979</v>
      </c>
      <c r="C23">
        <v>0</v>
      </c>
      <c r="D23" s="3">
        <f>Table1[[#This Row],['# with Full 
Medical Exemption]]/Table1[[#This Row],['# of Students]]</f>
        <v>0</v>
      </c>
      <c r="E23">
        <v>2</v>
      </c>
      <c r="F23" s="3">
        <f>Table1[[#This Row],['# UTD with 
Partial Medical Exemption]]/Table1[[#This Row],['# of Students]]</f>
        <v>2.0429009193054137E-3</v>
      </c>
      <c r="G23">
        <v>11</v>
      </c>
      <c r="H23" s="3">
        <f>Table1[[#This Row],['# with Full 
Religous Exemption]]/Table1[[#This Row],['# of Students]]</f>
        <v>1.1235955056179775E-2</v>
      </c>
      <c r="I23">
        <v>0</v>
      </c>
      <c r="J23" s="3">
        <f>Table1[[#This Row],['# UTD with 
Partial Religious Exemption]]/Table1[[#This Row],['# of Students]]</f>
        <v>0</v>
      </c>
    </row>
    <row r="24" spans="1:10" x14ac:dyDescent="0.35">
      <c r="A24" t="s">
        <v>23</v>
      </c>
      <c r="B24">
        <v>506</v>
      </c>
      <c r="C24">
        <v>1</v>
      </c>
      <c r="D24" s="3">
        <f>Table1[[#This Row],['# with Full 
Medical Exemption]]/Table1[[#This Row],['# of Students]]</f>
        <v>1.976284584980237E-3</v>
      </c>
      <c r="E24">
        <v>1</v>
      </c>
      <c r="F24" s="3">
        <f>Table1[[#This Row],['# UTD with 
Partial Medical Exemption]]/Table1[[#This Row],['# of Students]]</f>
        <v>1.976284584980237E-3</v>
      </c>
      <c r="G24">
        <v>3</v>
      </c>
      <c r="H24" s="3">
        <f>Table1[[#This Row],['# with Full 
Religous Exemption]]/Table1[[#This Row],['# of Students]]</f>
        <v>5.9288537549407111E-3</v>
      </c>
      <c r="I24">
        <v>0</v>
      </c>
      <c r="J24" s="3">
        <f>Table1[[#This Row],['# UTD with 
Partial Religious Exemption]]/Table1[[#This Row],['# of Students]]</f>
        <v>0</v>
      </c>
    </row>
    <row r="25" spans="1:10" x14ac:dyDescent="0.35">
      <c r="A25" t="s">
        <v>24</v>
      </c>
      <c r="B25">
        <v>431</v>
      </c>
      <c r="C25">
        <v>0</v>
      </c>
      <c r="D25" s="3">
        <f>Table1[[#This Row],['# with Full 
Medical Exemption]]/Table1[[#This Row],['# of Students]]</f>
        <v>0</v>
      </c>
      <c r="E25">
        <v>0</v>
      </c>
      <c r="F25" s="3">
        <f>Table1[[#This Row],['# UTD with 
Partial Medical Exemption]]/Table1[[#This Row],['# of Students]]</f>
        <v>0</v>
      </c>
      <c r="G25">
        <v>0</v>
      </c>
      <c r="H25" s="3">
        <f>Table1[[#This Row],['# with Full 
Religous Exemption]]/Table1[[#This Row],['# of Students]]</f>
        <v>0</v>
      </c>
      <c r="I25">
        <v>0</v>
      </c>
      <c r="J25" s="3">
        <f>Table1[[#This Row],['# UTD with 
Partial Religious Exemption]]/Table1[[#This Row],['# of Students]]</f>
        <v>0</v>
      </c>
    </row>
    <row r="26" spans="1:10" x14ac:dyDescent="0.35">
      <c r="A26" t="s">
        <v>25</v>
      </c>
      <c r="B26">
        <v>936</v>
      </c>
      <c r="C26">
        <v>0</v>
      </c>
      <c r="D26" s="3">
        <f>Table1[[#This Row],['# with Full 
Medical Exemption]]/Table1[[#This Row],['# of Students]]</f>
        <v>0</v>
      </c>
      <c r="E26">
        <v>1</v>
      </c>
      <c r="F26" s="3">
        <f>Table1[[#This Row],['# UTD with 
Partial Medical Exemption]]/Table1[[#This Row],['# of Students]]</f>
        <v>1.0683760683760685E-3</v>
      </c>
      <c r="G26">
        <v>6</v>
      </c>
      <c r="H26" s="3">
        <f>Table1[[#This Row],['# with Full 
Religous Exemption]]/Table1[[#This Row],['# of Students]]</f>
        <v>6.41025641025641E-3</v>
      </c>
      <c r="I26">
        <v>1</v>
      </c>
      <c r="J26" s="3">
        <f>Table1[[#This Row],['# UTD with 
Partial Religious Exemption]]/Table1[[#This Row],['# of Students]]</f>
        <v>1.0683760683760685E-3</v>
      </c>
    </row>
    <row r="27" spans="1:10" x14ac:dyDescent="0.35">
      <c r="A27" t="s">
        <v>26</v>
      </c>
      <c r="B27">
        <v>1136</v>
      </c>
      <c r="C27">
        <v>0</v>
      </c>
      <c r="D27" s="3">
        <f>Table1[[#This Row],['# with Full 
Medical Exemption]]/Table1[[#This Row],['# of Students]]</f>
        <v>0</v>
      </c>
      <c r="E27">
        <v>0</v>
      </c>
      <c r="F27" s="3">
        <f>Table1[[#This Row],['# UTD with 
Partial Medical Exemption]]/Table1[[#This Row],['# of Students]]</f>
        <v>0</v>
      </c>
      <c r="G27">
        <v>9</v>
      </c>
      <c r="H27" s="3">
        <f>Table1[[#This Row],['# with Full 
Religous Exemption]]/Table1[[#This Row],['# of Students]]</f>
        <v>7.9225352112676055E-3</v>
      </c>
      <c r="I27">
        <v>0</v>
      </c>
      <c r="J27" s="3">
        <f>Table1[[#This Row],['# UTD with 
Partial Religious Exemption]]/Table1[[#This Row],['# of Students]]</f>
        <v>0</v>
      </c>
    </row>
    <row r="28" spans="1:10" x14ac:dyDescent="0.35">
      <c r="A28" t="s">
        <v>27</v>
      </c>
      <c r="B28">
        <v>392</v>
      </c>
      <c r="C28">
        <v>1</v>
      </c>
      <c r="D28" s="3">
        <f>Table1[[#This Row],['# with Full 
Medical Exemption]]/Table1[[#This Row],['# of Students]]</f>
        <v>2.5510204081632651E-3</v>
      </c>
      <c r="E28">
        <v>0</v>
      </c>
      <c r="F28" s="3">
        <f>Table1[[#This Row],['# UTD with 
Partial Medical Exemption]]/Table1[[#This Row],['# of Students]]</f>
        <v>0</v>
      </c>
      <c r="G28">
        <v>0</v>
      </c>
      <c r="H28" s="3">
        <f>Table1[[#This Row],['# with Full 
Religous Exemption]]/Table1[[#This Row],['# of Students]]</f>
        <v>0</v>
      </c>
      <c r="I28">
        <v>0</v>
      </c>
      <c r="J28" s="3">
        <f>Table1[[#This Row],['# UTD with 
Partial Religious Exemption]]/Table1[[#This Row],['# of Students]]</f>
        <v>0</v>
      </c>
    </row>
    <row r="29" spans="1:10" x14ac:dyDescent="0.35">
      <c r="A29" t="s">
        <v>28</v>
      </c>
      <c r="B29">
        <v>1007</v>
      </c>
      <c r="C29">
        <v>0</v>
      </c>
      <c r="D29" s="3">
        <f>Table1[[#This Row],['# with Full 
Medical Exemption]]/Table1[[#This Row],['# of Students]]</f>
        <v>0</v>
      </c>
      <c r="E29">
        <v>0</v>
      </c>
      <c r="F29" s="3">
        <f>Table1[[#This Row],['# UTD with 
Partial Medical Exemption]]/Table1[[#This Row],['# of Students]]</f>
        <v>0</v>
      </c>
      <c r="G29">
        <v>11</v>
      </c>
      <c r="H29" s="3">
        <f>Table1[[#This Row],['# with Full 
Religous Exemption]]/Table1[[#This Row],['# of Students]]</f>
        <v>1.0923535253227408E-2</v>
      </c>
      <c r="I29">
        <v>0</v>
      </c>
      <c r="J29" s="3">
        <f>Table1[[#This Row],['# UTD with 
Partial Religious Exemption]]/Table1[[#This Row],['# of Students]]</f>
        <v>0</v>
      </c>
    </row>
    <row r="30" spans="1:10" x14ac:dyDescent="0.35">
      <c r="A30" t="s">
        <v>29</v>
      </c>
      <c r="B30">
        <v>173</v>
      </c>
      <c r="C30">
        <v>0</v>
      </c>
      <c r="D30" s="3">
        <f>Table1[[#This Row],['# with Full 
Medical Exemption]]/Table1[[#This Row],['# of Students]]</f>
        <v>0</v>
      </c>
      <c r="E30">
        <v>0</v>
      </c>
      <c r="F30" s="3">
        <f>Table1[[#This Row],['# UTD with 
Partial Medical Exemption]]/Table1[[#This Row],['# of Students]]</f>
        <v>0</v>
      </c>
      <c r="G30">
        <v>1</v>
      </c>
      <c r="H30" s="3">
        <f>Table1[[#This Row],['# with Full 
Religous Exemption]]/Table1[[#This Row],['# of Students]]</f>
        <v>5.7803468208092483E-3</v>
      </c>
      <c r="I30">
        <v>0</v>
      </c>
      <c r="J30" s="3">
        <f>Table1[[#This Row],['# UTD with 
Partial Religious Exemption]]/Table1[[#This Row],['# of Students]]</f>
        <v>0</v>
      </c>
    </row>
    <row r="31" spans="1:10" x14ac:dyDescent="0.35">
      <c r="A31" t="s">
        <v>30</v>
      </c>
      <c r="B31">
        <v>468</v>
      </c>
      <c r="C31">
        <v>0</v>
      </c>
      <c r="D31" s="3">
        <f>Table1[[#This Row],['# with Full 
Medical Exemption]]/Table1[[#This Row],['# of Students]]</f>
        <v>0</v>
      </c>
      <c r="E31">
        <v>0</v>
      </c>
      <c r="F31" s="3">
        <f>Table1[[#This Row],['# UTD with 
Partial Medical Exemption]]/Table1[[#This Row],['# of Students]]</f>
        <v>0</v>
      </c>
      <c r="G31">
        <v>1</v>
      </c>
      <c r="H31" s="3">
        <f>Table1[[#This Row],['# with Full 
Religous Exemption]]/Table1[[#This Row],['# of Students]]</f>
        <v>2.136752136752137E-3</v>
      </c>
      <c r="I31">
        <v>0</v>
      </c>
      <c r="J31" s="3">
        <f>Table1[[#This Row],['# UTD with 
Partial Religious Exemption]]/Table1[[#This Row],['# of Students]]</f>
        <v>0</v>
      </c>
    </row>
    <row r="32" spans="1:10" x14ac:dyDescent="0.35">
      <c r="A32" t="s">
        <v>31</v>
      </c>
      <c r="B32">
        <v>321</v>
      </c>
      <c r="C32">
        <v>1</v>
      </c>
      <c r="D32" s="3">
        <f>Table1[[#This Row],['# with Full 
Medical Exemption]]/Table1[[#This Row],['# of Students]]</f>
        <v>3.1152647975077881E-3</v>
      </c>
      <c r="E32">
        <v>0</v>
      </c>
      <c r="F32" s="3">
        <f>Table1[[#This Row],['# UTD with 
Partial Medical Exemption]]/Table1[[#This Row],['# of Students]]</f>
        <v>0</v>
      </c>
      <c r="G32">
        <v>2</v>
      </c>
      <c r="H32" s="3">
        <f>Table1[[#This Row],['# with Full 
Religous Exemption]]/Table1[[#This Row],['# of Students]]</f>
        <v>6.2305295950155761E-3</v>
      </c>
      <c r="I32">
        <v>0</v>
      </c>
      <c r="J32" s="3">
        <f>Table1[[#This Row],['# UTD with 
Partial Religious Exemption]]/Table1[[#This Row],['# of Students]]</f>
        <v>0</v>
      </c>
    </row>
    <row r="33" spans="1:10" x14ac:dyDescent="0.35">
      <c r="A33" t="s">
        <v>32</v>
      </c>
      <c r="B33">
        <v>71</v>
      </c>
      <c r="C33">
        <v>0</v>
      </c>
      <c r="D33" s="3">
        <f>Table1[[#This Row],['# with Full 
Medical Exemption]]/Table1[[#This Row],['# of Students]]</f>
        <v>0</v>
      </c>
      <c r="E33">
        <v>0</v>
      </c>
      <c r="F33" s="3">
        <f>Table1[[#This Row],['# UTD with 
Partial Medical Exemption]]/Table1[[#This Row],['# of Students]]</f>
        <v>0</v>
      </c>
      <c r="G33">
        <v>0</v>
      </c>
      <c r="H33" s="3">
        <f>Table1[[#This Row],['# with Full 
Religous Exemption]]/Table1[[#This Row],['# of Students]]</f>
        <v>0</v>
      </c>
      <c r="I33">
        <v>0</v>
      </c>
      <c r="J33" s="3">
        <f>Table1[[#This Row],['# UTD with 
Partial Religious Exemption]]/Table1[[#This Row],['# of Students]]</f>
        <v>0</v>
      </c>
    </row>
    <row r="34" spans="1:10" x14ac:dyDescent="0.35">
      <c r="A34" t="s">
        <v>33</v>
      </c>
      <c r="B34">
        <v>194</v>
      </c>
      <c r="C34">
        <v>0</v>
      </c>
      <c r="D34" s="3">
        <f>Table1[[#This Row],['# with Full 
Medical Exemption]]/Table1[[#This Row],['# of Students]]</f>
        <v>0</v>
      </c>
      <c r="E34">
        <v>0</v>
      </c>
      <c r="F34" s="3">
        <f>Table1[[#This Row],['# UTD with 
Partial Medical Exemption]]/Table1[[#This Row],['# of Students]]</f>
        <v>0</v>
      </c>
      <c r="G34">
        <v>0</v>
      </c>
      <c r="H34" s="3">
        <f>Table1[[#This Row],['# with Full 
Religous Exemption]]/Table1[[#This Row],['# of Students]]</f>
        <v>0</v>
      </c>
      <c r="I34">
        <v>0</v>
      </c>
      <c r="J34" s="3">
        <f>Table1[[#This Row],['# UTD with 
Partial Religious Exemption]]/Table1[[#This Row],['# of Students]]</f>
        <v>0</v>
      </c>
    </row>
    <row r="35" spans="1:10" x14ac:dyDescent="0.35">
      <c r="A35" t="s">
        <v>34</v>
      </c>
      <c r="B35">
        <v>208</v>
      </c>
      <c r="C35">
        <v>0</v>
      </c>
      <c r="D35" s="3">
        <f>Table1[[#This Row],['# with Full 
Medical Exemption]]/Table1[[#This Row],['# of Students]]</f>
        <v>0</v>
      </c>
      <c r="E35">
        <v>0</v>
      </c>
      <c r="F35" s="3">
        <f>Table1[[#This Row],['# UTD with 
Partial Medical Exemption]]/Table1[[#This Row],['# of Students]]</f>
        <v>0</v>
      </c>
      <c r="G35">
        <v>2</v>
      </c>
      <c r="H35" s="3">
        <f>Table1[[#This Row],['# with Full 
Religous Exemption]]/Table1[[#This Row],['# of Students]]</f>
        <v>9.6153846153846159E-3</v>
      </c>
      <c r="I35">
        <v>0</v>
      </c>
      <c r="J35" s="3">
        <f>Table1[[#This Row],['# UTD with 
Partial Religious Exemption]]/Table1[[#This Row],['# of Students]]</f>
        <v>0</v>
      </c>
    </row>
    <row r="36" spans="1:10" x14ac:dyDescent="0.35">
      <c r="A36" t="s">
        <v>35</v>
      </c>
      <c r="B36">
        <v>1319</v>
      </c>
      <c r="C36">
        <v>2</v>
      </c>
      <c r="D36" s="3">
        <f>Table1[[#This Row],['# with Full 
Medical Exemption]]/Table1[[#This Row],['# of Students]]</f>
        <v>1.5163002274450341E-3</v>
      </c>
      <c r="E36">
        <v>1</v>
      </c>
      <c r="F36" s="3">
        <f>Table1[[#This Row],['# UTD with 
Partial Medical Exemption]]/Table1[[#This Row],['# of Students]]</f>
        <v>7.5815011372251705E-4</v>
      </c>
      <c r="G36">
        <v>10</v>
      </c>
      <c r="H36" s="3">
        <f>Table1[[#This Row],['# with Full 
Religous Exemption]]/Table1[[#This Row],['# of Students]]</f>
        <v>7.5815011372251705E-3</v>
      </c>
      <c r="I36">
        <v>0</v>
      </c>
      <c r="J36" s="3">
        <f>Table1[[#This Row],['# UTD with 
Partial Religious Exemption]]/Table1[[#This Row],['# of Students]]</f>
        <v>0</v>
      </c>
    </row>
    <row r="37" spans="1:10" x14ac:dyDescent="0.35">
      <c r="A37" t="s">
        <v>36</v>
      </c>
      <c r="B37">
        <v>597</v>
      </c>
      <c r="C37">
        <v>0</v>
      </c>
      <c r="D37" s="3">
        <f>Table1[[#This Row],['# with Full 
Medical Exemption]]/Table1[[#This Row],['# of Students]]</f>
        <v>0</v>
      </c>
      <c r="E37">
        <v>1</v>
      </c>
      <c r="F37" s="3">
        <f>Table1[[#This Row],['# UTD with 
Partial Medical Exemption]]/Table1[[#This Row],['# of Students]]</f>
        <v>1.6750418760469012E-3</v>
      </c>
      <c r="G37">
        <v>7</v>
      </c>
      <c r="H37" s="3">
        <f>Table1[[#This Row],['# with Full 
Religous Exemption]]/Table1[[#This Row],['# of Students]]</f>
        <v>1.1725293132328308E-2</v>
      </c>
      <c r="I37">
        <v>0</v>
      </c>
      <c r="J37" s="3">
        <f>Table1[[#This Row],['# UTD with 
Partial Religious Exemption]]/Table1[[#This Row],['# of Students]]</f>
        <v>0</v>
      </c>
    </row>
    <row r="38" spans="1:10" x14ac:dyDescent="0.35">
      <c r="A38" t="s">
        <v>37</v>
      </c>
      <c r="B38">
        <v>7513</v>
      </c>
      <c r="C38">
        <v>3</v>
      </c>
      <c r="D38" s="3">
        <f>Table1[[#This Row],['# with Full 
Medical Exemption]]/Table1[[#This Row],['# of Students]]</f>
        <v>3.993078663649674E-4</v>
      </c>
      <c r="E38">
        <v>4</v>
      </c>
      <c r="F38" s="3">
        <f>Table1[[#This Row],['# UTD with 
Partial Medical Exemption]]/Table1[[#This Row],['# of Students]]</f>
        <v>5.324104884866232E-4</v>
      </c>
      <c r="G38">
        <v>41</v>
      </c>
      <c r="H38" s="3">
        <f>Table1[[#This Row],['# with Full 
Religous Exemption]]/Table1[[#This Row],['# of Students]]</f>
        <v>5.4572075069878878E-3</v>
      </c>
      <c r="I38">
        <v>0</v>
      </c>
      <c r="J38" s="3">
        <f>Table1[[#This Row],['# UTD with 
Partial Religious Exemption]]/Table1[[#This Row],['# of Students]]</f>
        <v>0</v>
      </c>
    </row>
    <row r="39" spans="1:10" x14ac:dyDescent="0.35">
      <c r="A39" t="s">
        <v>38</v>
      </c>
      <c r="B39">
        <v>190</v>
      </c>
      <c r="C39">
        <v>0</v>
      </c>
      <c r="D39" s="3">
        <f>Table1[[#This Row],['# with Full 
Medical Exemption]]/Table1[[#This Row],['# of Students]]</f>
        <v>0</v>
      </c>
      <c r="E39">
        <v>0</v>
      </c>
      <c r="F39" s="3">
        <f>Table1[[#This Row],['# UTD with 
Partial Medical Exemption]]/Table1[[#This Row],['# of Students]]</f>
        <v>0</v>
      </c>
      <c r="G39">
        <v>0</v>
      </c>
      <c r="H39" s="3">
        <f>Table1[[#This Row],['# with Full 
Religous Exemption]]/Table1[[#This Row],['# of Students]]</f>
        <v>0</v>
      </c>
      <c r="I39">
        <v>0</v>
      </c>
      <c r="J39" s="3">
        <f>Table1[[#This Row],['# UTD with 
Partial Religious Exemption]]/Table1[[#This Row],['# of Students]]</f>
        <v>0</v>
      </c>
    </row>
    <row r="40" spans="1:10" x14ac:dyDescent="0.35">
      <c r="A40" t="s">
        <v>39</v>
      </c>
      <c r="B40">
        <v>1033</v>
      </c>
      <c r="C40">
        <v>3</v>
      </c>
      <c r="D40" s="3">
        <f>Table1[[#This Row],['# with Full 
Medical Exemption]]/Table1[[#This Row],['# of Students]]</f>
        <v>2.9041626331074541E-3</v>
      </c>
      <c r="E40">
        <v>0</v>
      </c>
      <c r="F40" s="3">
        <f>Table1[[#This Row],['# UTD with 
Partial Medical Exemption]]/Table1[[#This Row],['# of Students]]</f>
        <v>0</v>
      </c>
      <c r="G40">
        <v>14</v>
      </c>
      <c r="H40" s="3">
        <f>Table1[[#This Row],['# with Full 
Religous Exemption]]/Table1[[#This Row],['# of Students]]</f>
        <v>1.3552758954501452E-2</v>
      </c>
      <c r="I40">
        <v>0</v>
      </c>
      <c r="J40" s="3">
        <f>Table1[[#This Row],['# UTD with 
Partial Religious Exemption]]/Table1[[#This Row],['# of Students]]</f>
        <v>0</v>
      </c>
    </row>
    <row r="41" spans="1:10" x14ac:dyDescent="0.35">
      <c r="A41" t="s">
        <v>40</v>
      </c>
      <c r="B41">
        <v>252</v>
      </c>
      <c r="C41">
        <v>0</v>
      </c>
      <c r="D41" s="3">
        <f>Table1[[#This Row],['# with Full 
Medical Exemption]]/Table1[[#This Row],['# of Students]]</f>
        <v>0</v>
      </c>
      <c r="E41">
        <v>0</v>
      </c>
      <c r="F41" s="3">
        <f>Table1[[#This Row],['# UTD with 
Partial Medical Exemption]]/Table1[[#This Row],['# of Students]]</f>
        <v>0</v>
      </c>
      <c r="G41">
        <v>2</v>
      </c>
      <c r="H41" s="3">
        <f>Table1[[#This Row],['# with Full 
Religous Exemption]]/Table1[[#This Row],['# of Students]]</f>
        <v>7.9365079365079361E-3</v>
      </c>
      <c r="I41">
        <v>0</v>
      </c>
      <c r="J41" s="3">
        <f>Table1[[#This Row],['# UTD with 
Partial Religious Exemption]]/Table1[[#This Row],['# of Students]]</f>
        <v>0</v>
      </c>
    </row>
    <row r="42" spans="1:10" x14ac:dyDescent="0.35">
      <c r="A42" t="s">
        <v>41</v>
      </c>
      <c r="B42">
        <v>1947</v>
      </c>
      <c r="C42">
        <v>2</v>
      </c>
      <c r="D42" s="3">
        <f>Table1[[#This Row],['# with Full 
Medical Exemption]]/Table1[[#This Row],['# of Students]]</f>
        <v>1.0272213662044171E-3</v>
      </c>
      <c r="E42">
        <v>2</v>
      </c>
      <c r="F42" s="3">
        <f>Table1[[#This Row],['# UTD with 
Partial Medical Exemption]]/Table1[[#This Row],['# of Students]]</f>
        <v>1.0272213662044171E-3</v>
      </c>
      <c r="G42">
        <v>12</v>
      </c>
      <c r="H42" s="3">
        <f>Table1[[#This Row],['# with Full 
Religous Exemption]]/Table1[[#This Row],['# of Students]]</f>
        <v>6.1633281972265025E-3</v>
      </c>
      <c r="I42">
        <v>0</v>
      </c>
      <c r="J42" s="3">
        <f>Table1[[#This Row],['# UTD with 
Partial Religious Exemption]]/Table1[[#This Row],['# of Students]]</f>
        <v>0</v>
      </c>
    </row>
    <row r="43" spans="1:10" x14ac:dyDescent="0.35">
      <c r="A43" t="s">
        <v>42</v>
      </c>
      <c r="B43">
        <v>1044</v>
      </c>
      <c r="C43">
        <v>0</v>
      </c>
      <c r="D43" s="3">
        <f>Table1[[#This Row],['# with Full 
Medical Exemption]]/Table1[[#This Row],['# of Students]]</f>
        <v>0</v>
      </c>
      <c r="E43">
        <v>0</v>
      </c>
      <c r="F43" s="3">
        <f>Table1[[#This Row],['# UTD with 
Partial Medical Exemption]]/Table1[[#This Row],['# of Students]]</f>
        <v>0</v>
      </c>
      <c r="G43">
        <v>7</v>
      </c>
      <c r="H43" s="3">
        <f>Table1[[#This Row],['# with Full 
Religous Exemption]]/Table1[[#This Row],['# of Students]]</f>
        <v>6.7049808429118776E-3</v>
      </c>
      <c r="I43">
        <v>1</v>
      </c>
      <c r="J43" s="3">
        <f>Table1[[#This Row],['# UTD with 
Partial Religious Exemption]]/Table1[[#This Row],['# of Students]]</f>
        <v>9.5785440613026815E-4</v>
      </c>
    </row>
    <row r="44" spans="1:10" x14ac:dyDescent="0.35">
      <c r="A44" t="s">
        <v>43</v>
      </c>
      <c r="B44">
        <v>126</v>
      </c>
      <c r="C44">
        <v>0</v>
      </c>
      <c r="D44" s="3">
        <f>Table1[[#This Row],['# with Full 
Medical Exemption]]/Table1[[#This Row],['# of Students]]</f>
        <v>0</v>
      </c>
      <c r="E44">
        <v>0</v>
      </c>
      <c r="F44" s="3">
        <f>Table1[[#This Row],['# UTD with 
Partial Medical Exemption]]/Table1[[#This Row],['# of Students]]</f>
        <v>0</v>
      </c>
      <c r="G44">
        <v>0</v>
      </c>
      <c r="H44" s="3">
        <f>Table1[[#This Row],['# with Full 
Religous Exemption]]/Table1[[#This Row],['# of Students]]</f>
        <v>0</v>
      </c>
      <c r="I44">
        <v>0</v>
      </c>
      <c r="J44" s="3">
        <f>Table1[[#This Row],['# UTD with 
Partial Religious Exemption]]/Table1[[#This Row],['# of Students]]</f>
        <v>0</v>
      </c>
    </row>
    <row r="45" spans="1:10" x14ac:dyDescent="0.35">
      <c r="A45" t="s">
        <v>44</v>
      </c>
      <c r="B45">
        <v>136</v>
      </c>
      <c r="C45">
        <v>0</v>
      </c>
      <c r="D45" s="3">
        <f>Table1[[#This Row],['# with Full 
Medical Exemption]]/Table1[[#This Row],['# of Students]]</f>
        <v>0</v>
      </c>
      <c r="E45">
        <v>0</v>
      </c>
      <c r="F45" s="3">
        <f>Table1[[#This Row],['# UTD with 
Partial Medical Exemption]]/Table1[[#This Row],['# of Students]]</f>
        <v>0</v>
      </c>
      <c r="G45">
        <v>2</v>
      </c>
      <c r="H45" s="3">
        <f>Table1[[#This Row],['# with Full 
Religous Exemption]]/Table1[[#This Row],['# of Students]]</f>
        <v>1.4705882352941176E-2</v>
      </c>
      <c r="I45">
        <v>0</v>
      </c>
      <c r="J45" s="3">
        <f>Table1[[#This Row],['# UTD with 
Partial Religious Exemption]]/Table1[[#This Row],['# of Students]]</f>
        <v>0</v>
      </c>
    </row>
    <row r="46" spans="1:10" x14ac:dyDescent="0.35">
      <c r="A46" t="s">
        <v>45</v>
      </c>
      <c r="B46">
        <v>4502</v>
      </c>
      <c r="C46">
        <v>4</v>
      </c>
      <c r="D46" s="3">
        <f>Table1[[#This Row],['# with Full 
Medical Exemption]]/Table1[[#This Row],['# of Students]]</f>
        <v>8.8849400266548197E-4</v>
      </c>
      <c r="E46">
        <v>1</v>
      </c>
      <c r="F46" s="3">
        <f>Table1[[#This Row],['# UTD with 
Partial Medical Exemption]]/Table1[[#This Row],['# of Students]]</f>
        <v>2.2212350066637049E-4</v>
      </c>
      <c r="G46">
        <v>39</v>
      </c>
      <c r="H46" s="3">
        <f>Table1[[#This Row],['# with Full 
Religous Exemption]]/Table1[[#This Row],['# of Students]]</f>
        <v>8.6628165259884492E-3</v>
      </c>
      <c r="I46">
        <v>2</v>
      </c>
      <c r="J46" s="3">
        <f>Table1[[#This Row],['# UTD with 
Partial Religious Exemption]]/Table1[[#This Row],['# of Students]]</f>
        <v>4.4424700133274098E-4</v>
      </c>
    </row>
    <row r="47" spans="1:10" x14ac:dyDescent="0.35">
      <c r="A47" t="s">
        <v>46</v>
      </c>
      <c r="B47">
        <v>285</v>
      </c>
      <c r="C47">
        <v>1</v>
      </c>
      <c r="D47" s="3">
        <f>Table1[[#This Row],['# with Full 
Medical Exemption]]/Table1[[#This Row],['# of Students]]</f>
        <v>3.5087719298245615E-3</v>
      </c>
      <c r="E47">
        <v>0</v>
      </c>
      <c r="F47" s="3">
        <f>Table1[[#This Row],['# UTD with 
Partial Medical Exemption]]/Table1[[#This Row],['# of Students]]</f>
        <v>0</v>
      </c>
      <c r="G47">
        <v>0</v>
      </c>
      <c r="H47" s="3">
        <f>Table1[[#This Row],['# with Full 
Religous Exemption]]/Table1[[#This Row],['# of Students]]</f>
        <v>0</v>
      </c>
      <c r="I47">
        <v>0</v>
      </c>
      <c r="J47" s="3">
        <f>Table1[[#This Row],['# UTD with 
Partial Religious Exemption]]/Table1[[#This Row],['# of Students]]</f>
        <v>0</v>
      </c>
    </row>
    <row r="48" spans="1:10" x14ac:dyDescent="0.35">
      <c r="A48" t="s">
        <v>47</v>
      </c>
      <c r="B48">
        <v>364</v>
      </c>
      <c r="C48">
        <v>1</v>
      </c>
      <c r="D48" s="3">
        <f>Table1[[#This Row],['# with Full 
Medical Exemption]]/Table1[[#This Row],['# of Students]]</f>
        <v>2.7472527472527475E-3</v>
      </c>
      <c r="E48">
        <v>0</v>
      </c>
      <c r="F48" s="3">
        <f>Table1[[#This Row],['# UTD with 
Partial Medical Exemption]]/Table1[[#This Row],['# of Students]]</f>
        <v>0</v>
      </c>
      <c r="G48">
        <v>0</v>
      </c>
      <c r="H48" s="3">
        <f>Table1[[#This Row],['# with Full 
Religous Exemption]]/Table1[[#This Row],['# of Students]]</f>
        <v>0</v>
      </c>
      <c r="I48">
        <v>0</v>
      </c>
      <c r="J48" s="3">
        <f>Table1[[#This Row],['# UTD with 
Partial Religious Exemption]]/Table1[[#This Row],['# of Students]]</f>
        <v>0</v>
      </c>
    </row>
    <row r="49" spans="1:10" x14ac:dyDescent="0.35">
      <c r="A49" t="s">
        <v>48</v>
      </c>
      <c r="B49">
        <v>1371</v>
      </c>
      <c r="C49">
        <v>2</v>
      </c>
      <c r="D49" s="3">
        <f>Table1[[#This Row],['# with Full 
Medical Exemption]]/Table1[[#This Row],['# of Students]]</f>
        <v>1.4587892049598833E-3</v>
      </c>
      <c r="E49">
        <v>1</v>
      </c>
      <c r="F49" s="3">
        <f>Table1[[#This Row],['# UTD with 
Partial Medical Exemption]]/Table1[[#This Row],['# of Students]]</f>
        <v>7.2939460247994166E-4</v>
      </c>
      <c r="G49">
        <v>3</v>
      </c>
      <c r="H49" s="3">
        <f>Table1[[#This Row],['# with Full 
Religous Exemption]]/Table1[[#This Row],['# of Students]]</f>
        <v>2.1881838074398249E-3</v>
      </c>
      <c r="I49">
        <v>0</v>
      </c>
      <c r="J49" s="3">
        <f>Table1[[#This Row],['# UTD with 
Partial Religious Exemption]]/Table1[[#This Row],['# of Students]]</f>
        <v>0</v>
      </c>
    </row>
    <row r="50" spans="1:10" x14ac:dyDescent="0.35">
      <c r="A50" t="s">
        <v>49</v>
      </c>
      <c r="B50">
        <v>5427</v>
      </c>
      <c r="C50">
        <v>1</v>
      </c>
      <c r="D50" s="3">
        <f>Table1[[#This Row],['# with Full 
Medical Exemption]]/Table1[[#This Row],['# of Students]]</f>
        <v>1.8426386585590566E-4</v>
      </c>
      <c r="E50">
        <v>2</v>
      </c>
      <c r="F50" s="3">
        <f>Table1[[#This Row],['# UTD with 
Partial Medical Exemption]]/Table1[[#This Row],['# of Students]]</f>
        <v>3.6852773171181132E-4</v>
      </c>
      <c r="G50">
        <v>28</v>
      </c>
      <c r="H50" s="3">
        <f>Table1[[#This Row],['# with Full 
Religous Exemption]]/Table1[[#This Row],['# of Students]]</f>
        <v>5.1593882439653583E-3</v>
      </c>
      <c r="I50">
        <v>1</v>
      </c>
      <c r="J50" s="3">
        <f>Table1[[#This Row],['# UTD with 
Partial Religious Exemption]]/Table1[[#This Row],['# of Students]]</f>
        <v>1.8426386585590566E-4</v>
      </c>
    </row>
    <row r="51" spans="1:10" x14ac:dyDescent="0.35">
      <c r="A51" t="s">
        <v>50</v>
      </c>
      <c r="B51">
        <v>308</v>
      </c>
      <c r="C51">
        <v>0</v>
      </c>
      <c r="D51" s="3">
        <f>Table1[[#This Row],['# with Full 
Medical Exemption]]/Table1[[#This Row],['# of Students]]</f>
        <v>0</v>
      </c>
      <c r="E51">
        <v>0</v>
      </c>
      <c r="F51" s="3">
        <f>Table1[[#This Row],['# UTD with 
Partial Medical Exemption]]/Table1[[#This Row],['# of Students]]</f>
        <v>0</v>
      </c>
      <c r="G51">
        <v>1</v>
      </c>
      <c r="H51" s="3">
        <f>Table1[[#This Row],['# with Full 
Religous Exemption]]/Table1[[#This Row],['# of Students]]</f>
        <v>3.246753246753247E-3</v>
      </c>
      <c r="I51">
        <v>0</v>
      </c>
      <c r="J51" s="3">
        <f>Table1[[#This Row],['# UTD with 
Partial Religious Exemption]]/Table1[[#This Row],['# of Students]]</f>
        <v>0</v>
      </c>
    </row>
    <row r="52" spans="1:10" x14ac:dyDescent="0.35">
      <c r="A52" t="s">
        <v>51</v>
      </c>
      <c r="B52">
        <v>2643</v>
      </c>
      <c r="C52">
        <v>0</v>
      </c>
      <c r="D52" s="3">
        <f>Table1[[#This Row],['# with Full 
Medical Exemption]]/Table1[[#This Row],['# of Students]]</f>
        <v>0</v>
      </c>
      <c r="E52">
        <v>1</v>
      </c>
      <c r="F52" s="3">
        <f>Table1[[#This Row],['# UTD with 
Partial Medical Exemption]]/Table1[[#This Row],['# of Students]]</f>
        <v>3.7835792659856227E-4</v>
      </c>
      <c r="G52">
        <v>8</v>
      </c>
      <c r="H52" s="3">
        <f>Table1[[#This Row],['# with Full 
Religous Exemption]]/Table1[[#This Row],['# of Students]]</f>
        <v>3.0268634127884981E-3</v>
      </c>
      <c r="I52">
        <v>0</v>
      </c>
      <c r="J52" s="3">
        <f>Table1[[#This Row],['# UTD with 
Partial Religious Exemption]]/Table1[[#This Row],['# of Students]]</f>
        <v>0</v>
      </c>
    </row>
    <row r="53" spans="1:10" x14ac:dyDescent="0.35">
      <c r="A53" t="s">
        <v>52</v>
      </c>
      <c r="B53">
        <v>1549</v>
      </c>
      <c r="C53">
        <v>0</v>
      </c>
      <c r="D53" s="3">
        <f>Table1[[#This Row],['# with Full 
Medical Exemption]]/Table1[[#This Row],['# of Students]]</f>
        <v>0</v>
      </c>
      <c r="E53">
        <v>1</v>
      </c>
      <c r="F53" s="3">
        <f>Table1[[#This Row],['# UTD with 
Partial Medical Exemption]]/Table1[[#This Row],['# of Students]]</f>
        <v>6.4557779212395089E-4</v>
      </c>
      <c r="G53">
        <v>11</v>
      </c>
      <c r="H53" s="3">
        <f>Table1[[#This Row],['# with Full 
Religous Exemption]]/Table1[[#This Row],['# of Students]]</f>
        <v>7.1013557133634605E-3</v>
      </c>
      <c r="I53">
        <v>0</v>
      </c>
      <c r="J53" s="3">
        <f>Table1[[#This Row],['# UTD with 
Partial Religious Exemption]]/Table1[[#This Row],['# of Students]]</f>
        <v>0</v>
      </c>
    </row>
    <row r="54" spans="1:10" x14ac:dyDescent="0.35">
      <c r="A54" t="s">
        <v>53</v>
      </c>
      <c r="B54">
        <v>84</v>
      </c>
      <c r="C54">
        <v>0</v>
      </c>
      <c r="D54" s="3">
        <f>Table1[[#This Row],['# with Full 
Medical Exemption]]/Table1[[#This Row],['# of Students]]</f>
        <v>0</v>
      </c>
      <c r="E54">
        <v>0</v>
      </c>
      <c r="F54" s="3">
        <f>Table1[[#This Row],['# UTD with 
Partial Medical Exemption]]/Table1[[#This Row],['# of Students]]</f>
        <v>0</v>
      </c>
      <c r="G54">
        <v>0</v>
      </c>
      <c r="H54" s="3">
        <f>Table1[[#This Row],['# with Full 
Religous Exemption]]/Table1[[#This Row],['# of Students]]</f>
        <v>0</v>
      </c>
      <c r="I54">
        <v>0</v>
      </c>
      <c r="J54" s="3">
        <f>Table1[[#This Row],['# UTD with 
Partial Religious Exemption]]/Table1[[#This Row],['# of Students]]</f>
        <v>0</v>
      </c>
    </row>
    <row r="55" spans="1:10" x14ac:dyDescent="0.35">
      <c r="A55" t="s">
        <v>54</v>
      </c>
      <c r="B55">
        <v>181</v>
      </c>
      <c r="C55">
        <v>0</v>
      </c>
      <c r="D55" s="3">
        <f>Table1[[#This Row],['# with Full 
Medical Exemption]]/Table1[[#This Row],['# of Students]]</f>
        <v>0</v>
      </c>
      <c r="E55">
        <v>0</v>
      </c>
      <c r="F55" s="3">
        <f>Table1[[#This Row],['# UTD with 
Partial Medical Exemption]]/Table1[[#This Row],['# of Students]]</f>
        <v>0</v>
      </c>
      <c r="G55">
        <v>1</v>
      </c>
      <c r="H55" s="3">
        <f>Table1[[#This Row],['# with Full 
Religous Exemption]]/Table1[[#This Row],['# of Students]]</f>
        <v>5.5248618784530384E-3</v>
      </c>
      <c r="I55">
        <v>0</v>
      </c>
      <c r="J55" s="3">
        <f>Table1[[#This Row],['# UTD with 
Partial Religious Exemption]]/Table1[[#This Row],['# of Students]]</f>
        <v>0</v>
      </c>
    </row>
    <row r="56" spans="1:10" x14ac:dyDescent="0.35">
      <c r="A56" t="s">
        <v>55</v>
      </c>
      <c r="B56">
        <v>331</v>
      </c>
      <c r="C56">
        <v>0</v>
      </c>
      <c r="D56" s="3">
        <f>Table1[[#This Row],['# with Full 
Medical Exemption]]/Table1[[#This Row],['# of Students]]</f>
        <v>0</v>
      </c>
      <c r="E56">
        <v>0</v>
      </c>
      <c r="F56" s="3">
        <f>Table1[[#This Row],['# UTD with 
Partial Medical Exemption]]/Table1[[#This Row],['# of Students]]</f>
        <v>0</v>
      </c>
      <c r="G56">
        <v>1</v>
      </c>
      <c r="H56" s="3">
        <f>Table1[[#This Row],['# with Full 
Religous Exemption]]/Table1[[#This Row],['# of Students]]</f>
        <v>3.0211480362537764E-3</v>
      </c>
      <c r="I56">
        <v>0</v>
      </c>
      <c r="J56" s="3">
        <f>Table1[[#This Row],['# UTD with 
Partial Religious Exemption]]/Table1[[#This Row],['# of Students]]</f>
        <v>0</v>
      </c>
    </row>
    <row r="57" spans="1:10" x14ac:dyDescent="0.35">
      <c r="A57" t="s">
        <v>56</v>
      </c>
      <c r="B57">
        <v>296</v>
      </c>
      <c r="C57">
        <v>0</v>
      </c>
      <c r="D57" s="3">
        <f>Table1[[#This Row],['# with Full 
Medical Exemption]]/Table1[[#This Row],['# of Students]]</f>
        <v>0</v>
      </c>
      <c r="E57">
        <v>0</v>
      </c>
      <c r="F57" s="3">
        <f>Table1[[#This Row],['# UTD with 
Partial Medical Exemption]]/Table1[[#This Row],['# of Students]]</f>
        <v>0</v>
      </c>
      <c r="G57">
        <v>0</v>
      </c>
      <c r="H57" s="3">
        <f>Table1[[#This Row],['# with Full 
Religous Exemption]]/Table1[[#This Row],['# of Students]]</f>
        <v>0</v>
      </c>
      <c r="I57">
        <v>0</v>
      </c>
      <c r="J57" s="3">
        <f>Table1[[#This Row],['# UTD with 
Partial Religious Exemption]]/Table1[[#This Row],['# of Students]]</f>
        <v>0</v>
      </c>
    </row>
    <row r="58" spans="1:10" x14ac:dyDescent="0.35">
      <c r="A58" t="s">
        <v>57</v>
      </c>
      <c r="B58">
        <v>634</v>
      </c>
      <c r="C58">
        <v>0</v>
      </c>
      <c r="D58" s="3">
        <f>Table1[[#This Row],['# with Full 
Medical Exemption]]/Table1[[#This Row],['# of Students]]</f>
        <v>0</v>
      </c>
      <c r="E58">
        <v>1</v>
      </c>
      <c r="F58" s="3">
        <f>Table1[[#This Row],['# UTD with 
Partial Medical Exemption]]/Table1[[#This Row],['# of Students]]</f>
        <v>1.5772870662460567E-3</v>
      </c>
      <c r="G58">
        <v>0</v>
      </c>
      <c r="H58" s="3">
        <f>Table1[[#This Row],['# with Full 
Religous Exemption]]/Table1[[#This Row],['# of Students]]</f>
        <v>0</v>
      </c>
      <c r="I58">
        <v>0</v>
      </c>
      <c r="J58" s="3">
        <f>Table1[[#This Row],['# UTD with 
Partial Religious Exemption]]/Table1[[#This Row],['# of Students]]</f>
        <v>0</v>
      </c>
    </row>
    <row r="59" spans="1:10" x14ac:dyDescent="0.35">
      <c r="A59" t="s">
        <v>58</v>
      </c>
      <c r="B59">
        <v>3158</v>
      </c>
      <c r="C59">
        <v>4</v>
      </c>
      <c r="D59" s="3">
        <f>Table1[[#This Row],['# with Full 
Medical Exemption]]/Table1[[#This Row],['# of Students]]</f>
        <v>1.266624445851805E-3</v>
      </c>
      <c r="E59">
        <v>0</v>
      </c>
      <c r="F59" s="3">
        <f>Table1[[#This Row],['# UTD with 
Partial Medical Exemption]]/Table1[[#This Row],['# of Students]]</f>
        <v>0</v>
      </c>
      <c r="G59">
        <v>33</v>
      </c>
      <c r="H59" s="3">
        <f>Table1[[#This Row],['# with Full 
Religous Exemption]]/Table1[[#This Row],['# of Students]]</f>
        <v>1.044965167827739E-2</v>
      </c>
      <c r="I59">
        <v>0</v>
      </c>
      <c r="J59" s="3">
        <f>Table1[[#This Row],['# UTD with 
Partial Religious Exemption]]/Table1[[#This Row],['# of Students]]</f>
        <v>0</v>
      </c>
    </row>
    <row r="60" spans="1:10" x14ac:dyDescent="0.35">
      <c r="A60" t="s">
        <v>59</v>
      </c>
      <c r="B60">
        <v>1041</v>
      </c>
      <c r="C60">
        <v>1</v>
      </c>
      <c r="D60" s="3">
        <f>Table1[[#This Row],['# with Full 
Medical Exemption]]/Table1[[#This Row],['# of Students]]</f>
        <v>9.6061479346781938E-4</v>
      </c>
      <c r="E60">
        <v>2</v>
      </c>
      <c r="F60" s="3">
        <f>Table1[[#This Row],['# UTD with 
Partial Medical Exemption]]/Table1[[#This Row],['# of Students]]</f>
        <v>1.9212295869356388E-3</v>
      </c>
      <c r="G60">
        <v>13</v>
      </c>
      <c r="H60" s="3">
        <f>Table1[[#This Row],['# with Full 
Religous Exemption]]/Table1[[#This Row],['# of Students]]</f>
        <v>1.2487992315081652E-2</v>
      </c>
      <c r="I60">
        <v>0</v>
      </c>
      <c r="J60" s="3">
        <f>Table1[[#This Row],['# UTD with 
Partial Religious Exemption]]/Table1[[#This Row],['# of Students]]</f>
        <v>0</v>
      </c>
    </row>
    <row r="61" spans="1:10" x14ac:dyDescent="0.35">
      <c r="A61" t="s">
        <v>60</v>
      </c>
      <c r="B61">
        <v>96</v>
      </c>
      <c r="C61">
        <v>0</v>
      </c>
      <c r="D61" s="3">
        <f>Table1[[#This Row],['# with Full 
Medical Exemption]]/Table1[[#This Row],['# of Students]]</f>
        <v>0</v>
      </c>
      <c r="E61">
        <v>0</v>
      </c>
      <c r="F61" s="3">
        <f>Table1[[#This Row],['# UTD with 
Partial Medical Exemption]]/Table1[[#This Row],['# of Students]]</f>
        <v>0</v>
      </c>
      <c r="G61">
        <v>1</v>
      </c>
      <c r="H61" s="3">
        <f>Table1[[#This Row],['# with Full 
Religous Exemption]]/Table1[[#This Row],['# of Students]]</f>
        <v>1.0416666666666666E-2</v>
      </c>
      <c r="I61">
        <v>0</v>
      </c>
      <c r="J61" s="3">
        <f>Table1[[#This Row],['# UTD with 
Partial Religious Exemption]]/Table1[[#This Row],['# of Students]]</f>
        <v>0</v>
      </c>
    </row>
    <row r="62" spans="1:10" x14ac:dyDescent="0.35">
      <c r="A62" t="s">
        <v>61</v>
      </c>
      <c r="B62">
        <v>896</v>
      </c>
      <c r="C62">
        <v>0</v>
      </c>
      <c r="D62" s="3">
        <f>Table1[[#This Row],['# with Full 
Medical Exemption]]/Table1[[#This Row],['# of Students]]</f>
        <v>0</v>
      </c>
      <c r="E62">
        <v>0</v>
      </c>
      <c r="F62" s="3">
        <f>Table1[[#This Row],['# UTD with 
Partial Medical Exemption]]/Table1[[#This Row],['# of Students]]</f>
        <v>0</v>
      </c>
      <c r="G62">
        <v>2</v>
      </c>
      <c r="H62" s="3">
        <f>Table1[[#This Row],['# with Full 
Religous Exemption]]/Table1[[#This Row],['# of Students]]</f>
        <v>2.232142857142857E-3</v>
      </c>
      <c r="I62">
        <v>0</v>
      </c>
      <c r="J62" s="3">
        <f>Table1[[#This Row],['# UTD with 
Partial Religious Exemption]]/Table1[[#This Row],['# of Students]]</f>
        <v>0</v>
      </c>
    </row>
    <row r="63" spans="1:10" x14ac:dyDescent="0.35">
      <c r="A63" t="s">
        <v>62</v>
      </c>
      <c r="B63">
        <v>411</v>
      </c>
      <c r="C63">
        <v>0</v>
      </c>
      <c r="D63" s="3">
        <f>Table1[[#This Row],['# with Full 
Medical Exemption]]/Table1[[#This Row],['# of Students]]</f>
        <v>0</v>
      </c>
      <c r="E63">
        <v>0</v>
      </c>
      <c r="F63" s="3">
        <f>Table1[[#This Row],['# UTD with 
Partial Medical Exemption]]/Table1[[#This Row],['# of Students]]</f>
        <v>0</v>
      </c>
      <c r="G63">
        <v>1</v>
      </c>
      <c r="H63" s="3">
        <f>Table1[[#This Row],['# with Full 
Religous Exemption]]/Table1[[#This Row],['# of Students]]</f>
        <v>2.4330900243309003E-3</v>
      </c>
      <c r="I63">
        <v>0</v>
      </c>
      <c r="J63" s="3">
        <f>Table1[[#This Row],['# UTD with 
Partial Religious Exemption]]/Table1[[#This Row],['# of Students]]</f>
        <v>0</v>
      </c>
    </row>
    <row r="64" spans="1:10" x14ac:dyDescent="0.35">
      <c r="A64" t="s">
        <v>63</v>
      </c>
      <c r="B64">
        <v>2416</v>
      </c>
      <c r="C64">
        <v>2</v>
      </c>
      <c r="D64" s="3">
        <f>Table1[[#This Row],['# with Full 
Medical Exemption]]/Table1[[#This Row],['# of Students]]</f>
        <v>8.2781456953642384E-4</v>
      </c>
      <c r="E64">
        <v>1</v>
      </c>
      <c r="F64" s="3">
        <f>Table1[[#This Row],['# UTD with 
Partial Medical Exemption]]/Table1[[#This Row],['# of Students]]</f>
        <v>4.1390728476821192E-4</v>
      </c>
      <c r="G64">
        <v>17</v>
      </c>
      <c r="H64" s="3">
        <f>Table1[[#This Row],['# with Full 
Religous Exemption]]/Table1[[#This Row],['# of Students]]</f>
        <v>7.036423841059603E-3</v>
      </c>
      <c r="I64">
        <v>0</v>
      </c>
      <c r="J64" s="3">
        <f>Table1[[#This Row],['# UTD with 
Partial Religious Exemption]]/Table1[[#This Row],['# of Students]]</f>
        <v>0</v>
      </c>
    </row>
    <row r="65" spans="1:10" x14ac:dyDescent="0.35">
      <c r="A65" t="s">
        <v>64</v>
      </c>
      <c r="B65">
        <v>747</v>
      </c>
      <c r="C65">
        <v>0</v>
      </c>
      <c r="D65" s="3">
        <f>Table1[[#This Row],['# with Full 
Medical Exemption]]/Table1[[#This Row],['# of Students]]</f>
        <v>0</v>
      </c>
      <c r="E65">
        <v>2</v>
      </c>
      <c r="F65" s="3">
        <f>Table1[[#This Row],['# UTD with 
Partial Medical Exemption]]/Table1[[#This Row],['# of Students]]</f>
        <v>2.6773761713520749E-3</v>
      </c>
      <c r="G65">
        <v>3</v>
      </c>
      <c r="H65" s="3">
        <f>Table1[[#This Row],['# with Full 
Religous Exemption]]/Table1[[#This Row],['# of Students]]</f>
        <v>4.0160642570281121E-3</v>
      </c>
      <c r="I65">
        <v>0</v>
      </c>
      <c r="J65" s="3">
        <f>Table1[[#This Row],['# UTD with 
Partial Religious Exemption]]/Table1[[#This Row],['# of Students]]</f>
        <v>0</v>
      </c>
    </row>
    <row r="66" spans="1:10" x14ac:dyDescent="0.35">
      <c r="A66" t="s">
        <v>65</v>
      </c>
      <c r="B66">
        <v>215</v>
      </c>
      <c r="C66">
        <v>0</v>
      </c>
      <c r="D66" s="3">
        <f>Table1[[#This Row],['# with Full 
Medical Exemption]]/Table1[[#This Row],['# of Students]]</f>
        <v>0</v>
      </c>
      <c r="E66">
        <v>0</v>
      </c>
      <c r="F66" s="3">
        <f>Table1[[#This Row],['# UTD with 
Partial Medical Exemption]]/Table1[[#This Row],['# of Students]]</f>
        <v>0</v>
      </c>
      <c r="G66">
        <v>0</v>
      </c>
      <c r="H66" s="3">
        <f>Table1[[#This Row],['# with Full 
Religous Exemption]]/Table1[[#This Row],['# of Students]]</f>
        <v>0</v>
      </c>
      <c r="I66">
        <v>0</v>
      </c>
      <c r="J66" s="3">
        <f>Table1[[#This Row],['# UTD with 
Partial Religious Exemption]]/Table1[[#This Row],['# of Students]]</f>
        <v>0</v>
      </c>
    </row>
    <row r="67" spans="1:10" x14ac:dyDescent="0.35">
      <c r="A67" t="s">
        <v>66</v>
      </c>
      <c r="B67">
        <v>81</v>
      </c>
      <c r="C67">
        <v>0</v>
      </c>
      <c r="D67" s="3">
        <f>Table1[[#This Row],['# with Full 
Medical Exemption]]/Table1[[#This Row],['# of Students]]</f>
        <v>0</v>
      </c>
      <c r="E67">
        <v>0</v>
      </c>
      <c r="F67" s="3">
        <f>Table1[[#This Row],['# UTD with 
Partial Medical Exemption]]/Table1[[#This Row],['# of Students]]</f>
        <v>0</v>
      </c>
      <c r="G67">
        <v>0</v>
      </c>
      <c r="H67" s="3">
        <f>Table1[[#This Row],['# with Full 
Religous Exemption]]/Table1[[#This Row],['# of Students]]</f>
        <v>0</v>
      </c>
      <c r="I67">
        <v>0</v>
      </c>
      <c r="J67" s="3">
        <f>Table1[[#This Row],['# UTD with 
Partial Religious Exemption]]/Table1[[#This Row],['# of Students]]</f>
        <v>0</v>
      </c>
    </row>
    <row r="68" spans="1:10" x14ac:dyDescent="0.35">
      <c r="A68" t="s">
        <v>67</v>
      </c>
      <c r="B68">
        <v>281</v>
      </c>
      <c r="C68">
        <v>0</v>
      </c>
      <c r="D68" s="3">
        <f>Table1[[#This Row],['# with Full 
Medical Exemption]]/Table1[[#This Row],['# of Students]]</f>
        <v>0</v>
      </c>
      <c r="E68">
        <v>0</v>
      </c>
      <c r="F68" s="3">
        <f>Table1[[#This Row],['# UTD with 
Partial Medical Exemption]]/Table1[[#This Row],['# of Students]]</f>
        <v>0</v>
      </c>
      <c r="G68">
        <v>5</v>
      </c>
      <c r="H68" s="3">
        <f>Table1[[#This Row],['# with Full 
Religous Exemption]]/Table1[[#This Row],['# of Students]]</f>
        <v>1.7793594306049824E-2</v>
      </c>
      <c r="I68">
        <v>0</v>
      </c>
      <c r="J68" s="3">
        <f>Table1[[#This Row],['# UTD with 
Partial Religious Exemption]]/Table1[[#This Row],['# of Students]]</f>
        <v>0</v>
      </c>
    </row>
    <row r="69" spans="1:10" x14ac:dyDescent="0.35">
      <c r="B69">
        <f>SUBTOTAL(109,Table1['# of Students])</f>
        <v>59361</v>
      </c>
      <c r="C69">
        <f>SUBTOTAL(109,Table1['# with Full 
Medical Exemption])</f>
        <v>35</v>
      </c>
      <c r="D69" s="3">
        <f>Table1[[#Totals],['# with Full 
Medical Exemption]]/Table1[[#Totals],['# of Students]]</f>
        <v>5.8961270868078364E-4</v>
      </c>
      <c r="E69">
        <f>SUBTOTAL(109,Table1['# UTD with 
Partial Medical Exemption])</f>
        <v>34</v>
      </c>
      <c r="F69" s="3">
        <f>Table1[[#Totals],['# UTD with 
Partial Medical Exemption]]/Table1[[#Totals],['# of Students]]</f>
        <v>5.7276663128990419E-4</v>
      </c>
      <c r="G69">
        <f>SUBTOTAL(109,Table1['# with Full 
Religous Exemption])</f>
        <v>400</v>
      </c>
      <c r="H69" s="3">
        <f>Table1[[#Totals],['# with Full 
Religous Exemption]]/Table1[[#Totals],['# of Students]]</f>
        <v>6.7384309563518138E-3</v>
      </c>
      <c r="I69">
        <f>SUBTOTAL(109,Table1['# UTD with 
Partial Religious Exemption])</f>
        <v>5</v>
      </c>
      <c r="J69" s="3">
        <f>Table1[[#Totals],['# UTD with 
Partial Religious Exemption]]/Table1[[#Totals],['# of Students]]</f>
        <v>8.4230386954397667E-5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E387C-44F6-4388-9BB8-BBD413787FEC}">
  <dimension ref="A1:J69"/>
  <sheetViews>
    <sheetView workbookViewId="0">
      <selection sqref="A1:XFD1"/>
    </sheetView>
  </sheetViews>
  <sheetFormatPr defaultRowHeight="14.5" x14ac:dyDescent="0.35"/>
  <cols>
    <col min="1" max="1" width="14.26953125" bestFit="1" customWidth="1"/>
    <col min="2" max="2" width="14.81640625" bestFit="1" customWidth="1"/>
    <col min="3" max="3" width="20.7265625" bestFit="1" customWidth="1"/>
    <col min="4" max="4" width="20.7265625" style="3" bestFit="1" customWidth="1"/>
    <col min="5" max="5" width="27" bestFit="1" customWidth="1"/>
    <col min="6" max="6" width="25.81640625" style="3" bestFit="1" customWidth="1"/>
    <col min="7" max="7" width="21.1796875" bestFit="1" customWidth="1"/>
    <col min="8" max="8" width="21.1796875" style="3" bestFit="1" customWidth="1"/>
    <col min="9" max="9" width="28.1796875" bestFit="1" customWidth="1"/>
    <col min="10" max="10" width="28.1796875" style="3" bestFit="1" customWidth="1"/>
  </cols>
  <sheetData>
    <row r="1" spans="1:10" ht="29" x14ac:dyDescent="0.35">
      <c r="A1" t="s">
        <v>0</v>
      </c>
      <c r="B1" t="s">
        <v>68</v>
      </c>
      <c r="C1" s="1" t="s">
        <v>69</v>
      </c>
      <c r="D1" s="2" t="s">
        <v>70</v>
      </c>
      <c r="E1" s="1" t="s">
        <v>71</v>
      </c>
      <c r="F1" s="2" t="s">
        <v>72</v>
      </c>
      <c r="G1" s="1" t="s">
        <v>73</v>
      </c>
      <c r="H1" s="2" t="s">
        <v>74</v>
      </c>
      <c r="I1" s="1" t="s">
        <v>75</v>
      </c>
      <c r="J1" s="2" t="s">
        <v>76</v>
      </c>
    </row>
    <row r="2" spans="1:10" x14ac:dyDescent="0.35">
      <c r="A2" t="s">
        <v>1</v>
      </c>
      <c r="B2">
        <v>832</v>
      </c>
      <c r="C2">
        <v>0</v>
      </c>
      <c r="D2" s="3">
        <f>Table2[[#This Row],['# with Full 
Medical Exemption]]/Table2[[#This Row],['# of Students]]</f>
        <v>0</v>
      </c>
      <c r="E2">
        <v>1</v>
      </c>
      <c r="F2" s="3">
        <f>Table2[[#This Row],['# UTD with 
Partial Medical Exemption]]/Table2[[#This Row],['# of Students]]</f>
        <v>1.201923076923077E-3</v>
      </c>
      <c r="G2">
        <v>5</v>
      </c>
      <c r="H2" s="3">
        <f>Table2[[#This Row],['# with Full 
Religous Exemption]]/Table2[[#This Row],['# of Students]]</f>
        <v>6.0096153846153849E-3</v>
      </c>
      <c r="I2">
        <v>0</v>
      </c>
      <c r="J2" s="3">
        <f>Table2[[#This Row],['# UTD with 
Partial Religious Exemption]]/Table2[[#This Row],['# of Students]]</f>
        <v>0</v>
      </c>
    </row>
    <row r="3" spans="1:10" x14ac:dyDescent="0.35">
      <c r="A3" t="s">
        <v>2</v>
      </c>
      <c r="B3">
        <v>3075</v>
      </c>
      <c r="C3">
        <v>2</v>
      </c>
      <c r="D3" s="3">
        <f>Table2[[#This Row],['# with Full 
Medical Exemption]]/Table2[[#This Row],['# of Students]]</f>
        <v>6.5040650406504065E-4</v>
      </c>
      <c r="E3">
        <v>13</v>
      </c>
      <c r="F3" s="3">
        <f>Table2[[#This Row],['# UTD with 
Partial Medical Exemption]]/Table2[[#This Row],['# of Students]]</f>
        <v>4.2276422764227642E-3</v>
      </c>
      <c r="G3">
        <v>66</v>
      </c>
      <c r="H3" s="3">
        <f>Table2[[#This Row],['# with Full 
Religous Exemption]]/Table2[[#This Row],['# of Students]]</f>
        <v>2.1463414634146343E-2</v>
      </c>
      <c r="I3">
        <v>0</v>
      </c>
      <c r="J3" s="3">
        <f>Table2[[#This Row],['# UTD with 
Partial Religious Exemption]]/Table2[[#This Row],['# of Students]]</f>
        <v>0</v>
      </c>
    </row>
    <row r="4" spans="1:10" x14ac:dyDescent="0.35">
      <c r="A4" t="s">
        <v>3</v>
      </c>
      <c r="B4">
        <v>680</v>
      </c>
      <c r="C4">
        <v>0</v>
      </c>
      <c r="D4" s="3">
        <f>Table2[[#This Row],['# with Full 
Medical Exemption]]/Table2[[#This Row],['# of Students]]</f>
        <v>0</v>
      </c>
      <c r="E4">
        <v>0</v>
      </c>
      <c r="F4" s="3">
        <f>Table2[[#This Row],['# UTD with 
Partial Medical Exemption]]/Table2[[#This Row],['# of Students]]</f>
        <v>0</v>
      </c>
      <c r="G4">
        <v>12</v>
      </c>
      <c r="H4" s="3">
        <f>Table2[[#This Row],['# with Full 
Religous Exemption]]/Table2[[#This Row],['# of Students]]</f>
        <v>1.7647058823529412E-2</v>
      </c>
      <c r="I4">
        <v>0</v>
      </c>
      <c r="J4" s="3">
        <f>Table2[[#This Row],['# UTD with 
Partial Religious Exemption]]/Table2[[#This Row],['# of Students]]</f>
        <v>0</v>
      </c>
    </row>
    <row r="5" spans="1:10" x14ac:dyDescent="0.35">
      <c r="A5" t="s">
        <v>4</v>
      </c>
      <c r="B5">
        <v>277</v>
      </c>
      <c r="C5">
        <v>0</v>
      </c>
      <c r="D5" s="3">
        <f>Table2[[#This Row],['# with Full 
Medical Exemption]]/Table2[[#This Row],['# of Students]]</f>
        <v>0</v>
      </c>
      <c r="E5">
        <v>1</v>
      </c>
      <c r="F5" s="3">
        <f>Table2[[#This Row],['# UTD with 
Partial Medical Exemption]]/Table2[[#This Row],['# of Students]]</f>
        <v>3.6101083032490976E-3</v>
      </c>
      <c r="G5">
        <v>1</v>
      </c>
      <c r="H5" s="3">
        <f>Table2[[#This Row],['# with Full 
Religous Exemption]]/Table2[[#This Row],['# of Students]]</f>
        <v>3.6101083032490976E-3</v>
      </c>
      <c r="I5">
        <v>0</v>
      </c>
      <c r="J5" s="3">
        <f>Table2[[#This Row],['# UTD with 
Partial Religious Exemption]]/Table2[[#This Row],['# of Students]]</f>
        <v>0</v>
      </c>
    </row>
    <row r="6" spans="1:10" x14ac:dyDescent="0.35">
      <c r="A6" t="s">
        <v>5</v>
      </c>
      <c r="B6">
        <v>753</v>
      </c>
      <c r="C6">
        <v>2</v>
      </c>
      <c r="D6" s="3">
        <f>Table2[[#This Row],['# with Full 
Medical Exemption]]/Table2[[#This Row],['# of Students]]</f>
        <v>2.6560424966799467E-3</v>
      </c>
      <c r="E6">
        <v>0</v>
      </c>
      <c r="F6" s="3">
        <f>Table2[[#This Row],['# UTD with 
Partial Medical Exemption]]/Table2[[#This Row],['# of Students]]</f>
        <v>0</v>
      </c>
      <c r="G6">
        <v>5</v>
      </c>
      <c r="H6" s="3">
        <f>Table2[[#This Row],['# with Full 
Religous Exemption]]/Table2[[#This Row],['# of Students]]</f>
        <v>6.6401062416998674E-3</v>
      </c>
      <c r="I6">
        <v>0</v>
      </c>
      <c r="J6" s="3">
        <f>Table2[[#This Row],['# UTD with 
Partial Religious Exemption]]/Table2[[#This Row],['# of Students]]</f>
        <v>0</v>
      </c>
    </row>
    <row r="7" spans="1:10" x14ac:dyDescent="0.35">
      <c r="A7" t="s">
        <v>6</v>
      </c>
      <c r="B7">
        <v>147</v>
      </c>
      <c r="C7">
        <v>0</v>
      </c>
      <c r="D7" s="3">
        <f>Table2[[#This Row],['# with Full 
Medical Exemption]]/Table2[[#This Row],['# of Students]]</f>
        <v>0</v>
      </c>
      <c r="E7">
        <v>0</v>
      </c>
      <c r="F7" s="3">
        <f>Table2[[#This Row],['# UTD with 
Partial Medical Exemption]]/Table2[[#This Row],['# of Students]]</f>
        <v>0</v>
      </c>
      <c r="G7">
        <v>0</v>
      </c>
      <c r="H7" s="3">
        <f>Table2[[#This Row],['# with Full 
Religous Exemption]]/Table2[[#This Row],['# of Students]]</f>
        <v>0</v>
      </c>
      <c r="I7">
        <v>0</v>
      </c>
      <c r="J7" s="3">
        <f>Table2[[#This Row],['# UTD with 
Partial Religious Exemption]]/Table2[[#This Row],['# of Students]]</f>
        <v>0</v>
      </c>
    </row>
    <row r="8" spans="1:10" x14ac:dyDescent="0.35">
      <c r="A8" t="s">
        <v>7</v>
      </c>
      <c r="B8">
        <v>361</v>
      </c>
      <c r="C8">
        <v>0</v>
      </c>
      <c r="D8" s="3">
        <f>Table2[[#This Row],['# with Full 
Medical Exemption]]/Table2[[#This Row],['# of Students]]</f>
        <v>0</v>
      </c>
      <c r="E8">
        <v>1</v>
      </c>
      <c r="F8" s="3">
        <f>Table2[[#This Row],['# UTD with 
Partial Medical Exemption]]/Table2[[#This Row],['# of Students]]</f>
        <v>2.7700831024930748E-3</v>
      </c>
      <c r="G8">
        <v>2</v>
      </c>
      <c r="H8" s="3">
        <f>Table2[[#This Row],['# with Full 
Religous Exemption]]/Table2[[#This Row],['# of Students]]</f>
        <v>5.5401662049861496E-3</v>
      </c>
      <c r="I8">
        <v>0</v>
      </c>
      <c r="J8" s="3">
        <f>Table2[[#This Row],['# UTD with 
Partial Religious Exemption]]/Table2[[#This Row],['# of Students]]</f>
        <v>0</v>
      </c>
    </row>
    <row r="9" spans="1:10" x14ac:dyDescent="0.35">
      <c r="A9" t="s">
        <v>8</v>
      </c>
      <c r="B9">
        <v>1472</v>
      </c>
      <c r="C9">
        <v>2</v>
      </c>
      <c r="D9" s="3">
        <f>Table2[[#This Row],['# with Full 
Medical Exemption]]/Table2[[#This Row],['# of Students]]</f>
        <v>1.358695652173913E-3</v>
      </c>
      <c r="E9">
        <v>3</v>
      </c>
      <c r="F9" s="3">
        <f>Table2[[#This Row],['# UTD with 
Partial Medical Exemption]]/Table2[[#This Row],['# of Students]]</f>
        <v>2.0380434782608695E-3</v>
      </c>
      <c r="G9">
        <v>13</v>
      </c>
      <c r="H9" s="3">
        <f>Table2[[#This Row],['# with Full 
Religous Exemption]]/Table2[[#This Row],['# of Students]]</f>
        <v>8.8315217391304341E-3</v>
      </c>
      <c r="I9">
        <v>0</v>
      </c>
      <c r="J9" s="3">
        <f>Table2[[#This Row],['# UTD with 
Partial Religious Exemption]]/Table2[[#This Row],['# of Students]]</f>
        <v>0</v>
      </c>
    </row>
    <row r="10" spans="1:10" x14ac:dyDescent="0.35">
      <c r="A10" t="s">
        <v>9</v>
      </c>
      <c r="B10">
        <v>374</v>
      </c>
      <c r="C10">
        <v>1</v>
      </c>
      <c r="D10" s="3">
        <f>Table2[[#This Row],['# with Full 
Medical Exemption]]/Table2[[#This Row],['# of Students]]</f>
        <v>2.6737967914438501E-3</v>
      </c>
      <c r="E10">
        <v>0</v>
      </c>
      <c r="F10" s="3">
        <f>Table2[[#This Row],['# UTD with 
Partial Medical Exemption]]/Table2[[#This Row],['# of Students]]</f>
        <v>0</v>
      </c>
      <c r="G10">
        <v>0</v>
      </c>
      <c r="H10" s="3">
        <f>Table2[[#This Row],['# with Full 
Religous Exemption]]/Table2[[#This Row],['# of Students]]</f>
        <v>0</v>
      </c>
      <c r="I10">
        <v>0</v>
      </c>
      <c r="J10" s="3">
        <f>Table2[[#This Row],['# UTD with 
Partial Religious Exemption]]/Table2[[#This Row],['# of Students]]</f>
        <v>0</v>
      </c>
    </row>
    <row r="11" spans="1:10" x14ac:dyDescent="0.35">
      <c r="A11" t="s">
        <v>10</v>
      </c>
      <c r="B11">
        <v>330</v>
      </c>
      <c r="C11">
        <v>0</v>
      </c>
      <c r="D11" s="3">
        <f>Table2[[#This Row],['# with Full 
Medical Exemption]]/Table2[[#This Row],['# of Students]]</f>
        <v>0</v>
      </c>
      <c r="E11">
        <v>0</v>
      </c>
      <c r="F11" s="3">
        <f>Table2[[#This Row],['# UTD with 
Partial Medical Exemption]]/Table2[[#This Row],['# of Students]]</f>
        <v>0</v>
      </c>
      <c r="G11">
        <v>2</v>
      </c>
      <c r="H11" s="3">
        <f>Table2[[#This Row],['# with Full 
Religous Exemption]]/Table2[[#This Row],['# of Students]]</f>
        <v>6.0606060606060606E-3</v>
      </c>
      <c r="I11">
        <v>0</v>
      </c>
      <c r="J11" s="3">
        <f>Table2[[#This Row],['# UTD with 
Partial Religious Exemption]]/Table2[[#This Row],['# of Students]]</f>
        <v>0</v>
      </c>
    </row>
    <row r="12" spans="1:10" x14ac:dyDescent="0.35">
      <c r="A12" t="s">
        <v>11</v>
      </c>
      <c r="B12">
        <v>633</v>
      </c>
      <c r="C12">
        <v>0</v>
      </c>
      <c r="D12" s="3">
        <f>Table2[[#This Row],['# with Full 
Medical Exemption]]/Table2[[#This Row],['# of Students]]</f>
        <v>0</v>
      </c>
      <c r="E12">
        <v>0</v>
      </c>
      <c r="F12" s="3">
        <f>Table2[[#This Row],['# UTD with 
Partial Medical Exemption]]/Table2[[#This Row],['# of Students]]</f>
        <v>0</v>
      </c>
      <c r="G12">
        <v>4</v>
      </c>
      <c r="H12" s="3">
        <f>Table2[[#This Row],['# with Full 
Religous Exemption]]/Table2[[#This Row],['# of Students]]</f>
        <v>6.3191153238546603E-3</v>
      </c>
      <c r="I12">
        <v>0</v>
      </c>
      <c r="J12" s="3">
        <f>Table2[[#This Row],['# UTD with 
Partial Religious Exemption]]/Table2[[#This Row],['# of Students]]</f>
        <v>0</v>
      </c>
    </row>
    <row r="13" spans="1:10" x14ac:dyDescent="0.35">
      <c r="A13" t="s">
        <v>12</v>
      </c>
      <c r="B13">
        <v>128</v>
      </c>
      <c r="C13">
        <v>0</v>
      </c>
      <c r="D13" s="3">
        <f>Table2[[#This Row],['# with Full 
Medical Exemption]]/Table2[[#This Row],['# of Students]]</f>
        <v>0</v>
      </c>
      <c r="E13">
        <v>0</v>
      </c>
      <c r="F13" s="3">
        <f>Table2[[#This Row],['# UTD with 
Partial Medical Exemption]]/Table2[[#This Row],['# of Students]]</f>
        <v>0</v>
      </c>
      <c r="G13">
        <v>0</v>
      </c>
      <c r="H13" s="3">
        <f>Table2[[#This Row],['# with Full 
Religous Exemption]]/Table2[[#This Row],['# of Students]]</f>
        <v>0</v>
      </c>
      <c r="I13">
        <v>0</v>
      </c>
      <c r="J13" s="3">
        <f>Table2[[#This Row],['# UTD with 
Partial Religious Exemption]]/Table2[[#This Row],['# of Students]]</f>
        <v>0</v>
      </c>
    </row>
    <row r="14" spans="1:10" x14ac:dyDescent="0.35">
      <c r="A14" t="s">
        <v>13</v>
      </c>
      <c r="B14">
        <v>350</v>
      </c>
      <c r="C14">
        <v>0</v>
      </c>
      <c r="D14" s="3">
        <f>Table2[[#This Row],['# with Full 
Medical Exemption]]/Table2[[#This Row],['# of Students]]</f>
        <v>0</v>
      </c>
      <c r="E14">
        <v>0</v>
      </c>
      <c r="F14" s="3">
        <f>Table2[[#This Row],['# UTD with 
Partial Medical Exemption]]/Table2[[#This Row],['# of Students]]</f>
        <v>0</v>
      </c>
      <c r="G14">
        <v>3</v>
      </c>
      <c r="H14" s="3">
        <f>Table2[[#This Row],['# with Full 
Religous Exemption]]/Table2[[#This Row],['# of Students]]</f>
        <v>8.5714285714285719E-3</v>
      </c>
      <c r="I14">
        <v>0</v>
      </c>
      <c r="J14" s="3">
        <f>Table2[[#This Row],['# UTD with 
Partial Religious Exemption]]/Table2[[#This Row],['# of Students]]</f>
        <v>0</v>
      </c>
    </row>
    <row r="15" spans="1:10" x14ac:dyDescent="0.35">
      <c r="A15" t="s">
        <v>14</v>
      </c>
      <c r="B15">
        <v>179</v>
      </c>
      <c r="C15">
        <v>0</v>
      </c>
      <c r="D15" s="3">
        <f>Table2[[#This Row],['# with Full 
Medical Exemption]]/Table2[[#This Row],['# of Students]]</f>
        <v>0</v>
      </c>
      <c r="E15">
        <v>0</v>
      </c>
      <c r="F15" s="3">
        <f>Table2[[#This Row],['# UTD with 
Partial Medical Exemption]]/Table2[[#This Row],['# of Students]]</f>
        <v>0</v>
      </c>
      <c r="G15">
        <v>0</v>
      </c>
      <c r="H15" s="3">
        <f>Table2[[#This Row],['# with Full 
Religous Exemption]]/Table2[[#This Row],['# of Students]]</f>
        <v>0</v>
      </c>
      <c r="I15">
        <v>0</v>
      </c>
      <c r="J15" s="3">
        <f>Table2[[#This Row],['# UTD with 
Partial Religious Exemption]]/Table2[[#This Row],['# of Students]]</f>
        <v>0</v>
      </c>
    </row>
    <row r="16" spans="1:10" x14ac:dyDescent="0.35">
      <c r="A16" t="s">
        <v>15</v>
      </c>
      <c r="B16">
        <v>184</v>
      </c>
      <c r="C16">
        <v>0</v>
      </c>
      <c r="D16" s="3">
        <f>Table2[[#This Row],['# with Full 
Medical Exemption]]/Table2[[#This Row],['# of Students]]</f>
        <v>0</v>
      </c>
      <c r="E16">
        <v>0</v>
      </c>
      <c r="F16" s="3">
        <f>Table2[[#This Row],['# UTD with 
Partial Medical Exemption]]/Table2[[#This Row],['# of Students]]</f>
        <v>0</v>
      </c>
      <c r="G16">
        <v>0</v>
      </c>
      <c r="H16" s="3">
        <f>Table2[[#This Row],['# with Full 
Religous Exemption]]/Table2[[#This Row],['# of Students]]</f>
        <v>0</v>
      </c>
      <c r="I16">
        <v>0</v>
      </c>
      <c r="J16" s="3">
        <f>Table2[[#This Row],['# UTD with 
Partial Religious Exemption]]/Table2[[#This Row],['# of Students]]</f>
        <v>0</v>
      </c>
    </row>
    <row r="17" spans="1:10" x14ac:dyDescent="0.35">
      <c r="A17" t="s">
        <v>16</v>
      </c>
      <c r="B17">
        <v>928</v>
      </c>
      <c r="C17">
        <v>0</v>
      </c>
      <c r="D17" s="3">
        <f>Table2[[#This Row],['# with Full 
Medical Exemption]]/Table2[[#This Row],['# of Students]]</f>
        <v>0</v>
      </c>
      <c r="E17">
        <v>2</v>
      </c>
      <c r="F17" s="3">
        <f>Table2[[#This Row],['# UTD with 
Partial Medical Exemption]]/Table2[[#This Row],['# of Students]]</f>
        <v>2.1551724137931034E-3</v>
      </c>
      <c r="G17">
        <v>10</v>
      </c>
      <c r="H17" s="3">
        <f>Table2[[#This Row],['# with Full 
Religous Exemption]]/Table2[[#This Row],['# of Students]]</f>
        <v>1.0775862068965518E-2</v>
      </c>
      <c r="I17">
        <v>0</v>
      </c>
      <c r="J17" s="3">
        <f>Table2[[#This Row],['# UTD with 
Partial Religious Exemption]]/Table2[[#This Row],['# of Students]]</f>
        <v>0</v>
      </c>
    </row>
    <row r="18" spans="1:10" x14ac:dyDescent="0.35">
      <c r="A18" t="s">
        <v>17</v>
      </c>
      <c r="B18">
        <v>696</v>
      </c>
      <c r="C18">
        <v>0</v>
      </c>
      <c r="D18" s="3">
        <f>Table2[[#This Row],['# with Full 
Medical Exemption]]/Table2[[#This Row],['# of Students]]</f>
        <v>0</v>
      </c>
      <c r="E18">
        <v>0</v>
      </c>
      <c r="F18" s="3">
        <f>Table2[[#This Row],['# UTD with 
Partial Medical Exemption]]/Table2[[#This Row],['# of Students]]</f>
        <v>0</v>
      </c>
      <c r="G18">
        <v>5</v>
      </c>
      <c r="H18" s="3">
        <f>Table2[[#This Row],['# with Full 
Religous Exemption]]/Table2[[#This Row],['# of Students]]</f>
        <v>7.1839080459770114E-3</v>
      </c>
      <c r="I18">
        <v>0</v>
      </c>
      <c r="J18" s="3">
        <f>Table2[[#This Row],['# UTD with 
Partial Religious Exemption]]/Table2[[#This Row],['# of Students]]</f>
        <v>0</v>
      </c>
    </row>
    <row r="19" spans="1:10" x14ac:dyDescent="0.35">
      <c r="A19" t="s">
        <v>18</v>
      </c>
      <c r="B19">
        <v>127</v>
      </c>
      <c r="C19">
        <v>0</v>
      </c>
      <c r="D19" s="3">
        <f>Table2[[#This Row],['# with Full 
Medical Exemption]]/Table2[[#This Row],['# of Students]]</f>
        <v>0</v>
      </c>
      <c r="E19">
        <v>0</v>
      </c>
      <c r="F19" s="3">
        <f>Table2[[#This Row],['# UTD with 
Partial Medical Exemption]]/Table2[[#This Row],['# of Students]]</f>
        <v>0</v>
      </c>
      <c r="G19">
        <v>1</v>
      </c>
      <c r="H19" s="3">
        <f>Table2[[#This Row],['# with Full 
Religous Exemption]]/Table2[[#This Row],['# of Students]]</f>
        <v>7.874015748031496E-3</v>
      </c>
      <c r="I19">
        <v>0</v>
      </c>
      <c r="J19" s="3">
        <f>Table2[[#This Row],['# UTD with 
Partial Religious Exemption]]/Table2[[#This Row],['# of Students]]</f>
        <v>0</v>
      </c>
    </row>
    <row r="20" spans="1:10" x14ac:dyDescent="0.35">
      <c r="A20" t="s">
        <v>19</v>
      </c>
      <c r="B20">
        <v>70</v>
      </c>
      <c r="C20">
        <v>0</v>
      </c>
      <c r="D20" s="3">
        <f>Table2[[#This Row],['# with Full 
Medical Exemption]]/Table2[[#This Row],['# of Students]]</f>
        <v>0</v>
      </c>
      <c r="E20">
        <v>0</v>
      </c>
      <c r="F20" s="3">
        <f>Table2[[#This Row],['# UTD with 
Partial Medical Exemption]]/Table2[[#This Row],['# of Students]]</f>
        <v>0</v>
      </c>
      <c r="G20">
        <v>1</v>
      </c>
      <c r="H20" s="3">
        <f>Table2[[#This Row],['# with Full 
Religous Exemption]]/Table2[[#This Row],['# of Students]]</f>
        <v>1.4285714285714285E-2</v>
      </c>
      <c r="I20">
        <v>0</v>
      </c>
      <c r="J20" s="3">
        <f>Table2[[#This Row],['# UTD with 
Partial Religious Exemption]]/Table2[[#This Row],['# of Students]]</f>
        <v>0</v>
      </c>
    </row>
    <row r="21" spans="1:10" x14ac:dyDescent="0.35">
      <c r="A21" t="s">
        <v>20</v>
      </c>
      <c r="B21">
        <v>459</v>
      </c>
      <c r="C21">
        <v>1</v>
      </c>
      <c r="D21" s="3">
        <f>Table2[[#This Row],['# with Full 
Medical Exemption]]/Table2[[#This Row],['# of Students]]</f>
        <v>2.1786492374727671E-3</v>
      </c>
      <c r="E21">
        <v>1</v>
      </c>
      <c r="F21" s="3">
        <f>Table2[[#This Row],['# UTD with 
Partial Medical Exemption]]/Table2[[#This Row],['# of Students]]</f>
        <v>2.1786492374727671E-3</v>
      </c>
      <c r="G21">
        <v>1</v>
      </c>
      <c r="H21" s="3">
        <f>Table2[[#This Row],['# with Full 
Religous Exemption]]/Table2[[#This Row],['# of Students]]</f>
        <v>2.1786492374727671E-3</v>
      </c>
      <c r="I21">
        <v>0</v>
      </c>
      <c r="J21" s="3">
        <f>Table2[[#This Row],['# UTD with 
Partial Religious Exemption]]/Table2[[#This Row],['# of Students]]</f>
        <v>0</v>
      </c>
    </row>
    <row r="22" spans="1:10" x14ac:dyDescent="0.35">
      <c r="A22" t="s">
        <v>21</v>
      </c>
      <c r="B22">
        <v>210</v>
      </c>
      <c r="C22">
        <v>0</v>
      </c>
      <c r="D22" s="3">
        <f>Table2[[#This Row],['# with Full 
Medical Exemption]]/Table2[[#This Row],['# of Students]]</f>
        <v>0</v>
      </c>
      <c r="E22">
        <v>0</v>
      </c>
      <c r="F22" s="3">
        <f>Table2[[#This Row],['# UTD with 
Partial Medical Exemption]]/Table2[[#This Row],['# of Students]]</f>
        <v>0</v>
      </c>
      <c r="G22">
        <v>1</v>
      </c>
      <c r="H22" s="3">
        <f>Table2[[#This Row],['# with Full 
Religous Exemption]]/Table2[[#This Row],['# of Students]]</f>
        <v>4.7619047619047623E-3</v>
      </c>
      <c r="I22">
        <v>0</v>
      </c>
      <c r="J22" s="3">
        <f>Table2[[#This Row],['# UTD with 
Partial Religious Exemption]]/Table2[[#This Row],['# of Students]]</f>
        <v>0</v>
      </c>
    </row>
    <row r="23" spans="1:10" x14ac:dyDescent="0.35">
      <c r="A23" t="s">
        <v>22</v>
      </c>
      <c r="B23">
        <v>1074</v>
      </c>
      <c r="C23">
        <v>1</v>
      </c>
      <c r="D23" s="3">
        <f>Table2[[#This Row],['# with Full 
Medical Exemption]]/Table2[[#This Row],['# of Students]]</f>
        <v>9.3109869646182495E-4</v>
      </c>
      <c r="E23">
        <v>2</v>
      </c>
      <c r="F23" s="3">
        <f>Table2[[#This Row],['# UTD with 
Partial Medical Exemption]]/Table2[[#This Row],['# of Students]]</f>
        <v>1.8621973929236499E-3</v>
      </c>
      <c r="G23">
        <v>25</v>
      </c>
      <c r="H23" s="3">
        <f>Table2[[#This Row],['# with Full 
Religous Exemption]]/Table2[[#This Row],['# of Students]]</f>
        <v>2.3277467411545624E-2</v>
      </c>
      <c r="I23">
        <v>0</v>
      </c>
      <c r="J23" s="3">
        <f>Table2[[#This Row],['# UTD with 
Partial Religious Exemption]]/Table2[[#This Row],['# of Students]]</f>
        <v>0</v>
      </c>
    </row>
    <row r="24" spans="1:10" x14ac:dyDescent="0.35">
      <c r="A24" t="s">
        <v>23</v>
      </c>
      <c r="B24">
        <v>522</v>
      </c>
      <c r="C24">
        <v>0</v>
      </c>
      <c r="D24" s="3">
        <f>Table2[[#This Row],['# with Full 
Medical Exemption]]/Table2[[#This Row],['# of Students]]</f>
        <v>0</v>
      </c>
      <c r="E24">
        <v>0</v>
      </c>
      <c r="F24" s="3">
        <f>Table2[[#This Row],['# UTD with 
Partial Medical Exemption]]/Table2[[#This Row],['# of Students]]</f>
        <v>0</v>
      </c>
      <c r="G24">
        <v>6</v>
      </c>
      <c r="H24" s="3">
        <f>Table2[[#This Row],['# with Full 
Religous Exemption]]/Table2[[#This Row],['# of Students]]</f>
        <v>1.1494252873563218E-2</v>
      </c>
      <c r="I24">
        <v>0</v>
      </c>
      <c r="J24" s="3">
        <f>Table2[[#This Row],['# UTD with 
Partial Religious Exemption]]/Table2[[#This Row],['# of Students]]</f>
        <v>0</v>
      </c>
    </row>
    <row r="25" spans="1:10" x14ac:dyDescent="0.35">
      <c r="A25" t="s">
        <v>24</v>
      </c>
      <c r="B25">
        <v>546</v>
      </c>
      <c r="C25">
        <v>0</v>
      </c>
      <c r="D25" s="3">
        <f>Table2[[#This Row],['# with Full 
Medical Exemption]]/Table2[[#This Row],['# of Students]]</f>
        <v>0</v>
      </c>
      <c r="E25">
        <v>1</v>
      </c>
      <c r="F25" s="3">
        <f>Table2[[#This Row],['# UTD with 
Partial Medical Exemption]]/Table2[[#This Row],['# of Students]]</f>
        <v>1.8315018315018315E-3</v>
      </c>
      <c r="G25">
        <v>0</v>
      </c>
      <c r="H25" s="3">
        <f>Table2[[#This Row],['# with Full 
Religous Exemption]]/Table2[[#This Row],['# of Students]]</f>
        <v>0</v>
      </c>
      <c r="I25">
        <v>0</v>
      </c>
      <c r="J25" s="3">
        <f>Table2[[#This Row],['# UTD with 
Partial Religious Exemption]]/Table2[[#This Row],['# of Students]]</f>
        <v>0</v>
      </c>
    </row>
    <row r="26" spans="1:10" x14ac:dyDescent="0.35">
      <c r="A26" t="s">
        <v>25</v>
      </c>
      <c r="B26">
        <v>1079</v>
      </c>
      <c r="C26">
        <v>0</v>
      </c>
      <c r="D26" s="3">
        <f>Table2[[#This Row],['# with Full 
Medical Exemption]]/Table2[[#This Row],['# of Students]]</f>
        <v>0</v>
      </c>
      <c r="E26">
        <v>0</v>
      </c>
      <c r="F26" s="3">
        <f>Table2[[#This Row],['# UTD with 
Partial Medical Exemption]]/Table2[[#This Row],['# of Students]]</f>
        <v>0</v>
      </c>
      <c r="G26">
        <v>6</v>
      </c>
      <c r="H26" s="3">
        <f>Table2[[#This Row],['# with Full 
Religous Exemption]]/Table2[[#This Row],['# of Students]]</f>
        <v>5.5607043558850789E-3</v>
      </c>
      <c r="I26">
        <v>0</v>
      </c>
      <c r="J26" s="3">
        <f>Table2[[#This Row],['# UTD with 
Partial Religious Exemption]]/Table2[[#This Row],['# of Students]]</f>
        <v>0</v>
      </c>
    </row>
    <row r="27" spans="1:10" x14ac:dyDescent="0.35">
      <c r="A27" t="s">
        <v>26</v>
      </c>
      <c r="B27">
        <v>1259</v>
      </c>
      <c r="C27">
        <v>0</v>
      </c>
      <c r="D27" s="3">
        <f>Table2[[#This Row],['# with Full 
Medical Exemption]]/Table2[[#This Row],['# of Students]]</f>
        <v>0</v>
      </c>
      <c r="E27">
        <v>0</v>
      </c>
      <c r="F27" s="3">
        <f>Table2[[#This Row],['# UTD with 
Partial Medical Exemption]]/Table2[[#This Row],['# of Students]]</f>
        <v>0</v>
      </c>
      <c r="G27">
        <v>9</v>
      </c>
      <c r="H27" s="3">
        <f>Table2[[#This Row],['# with Full 
Religous Exemption]]/Table2[[#This Row],['# of Students]]</f>
        <v>7.1485305798252583E-3</v>
      </c>
      <c r="I27">
        <v>0</v>
      </c>
      <c r="J27" s="3">
        <f>Table2[[#This Row],['# UTD with 
Partial Religious Exemption]]/Table2[[#This Row],['# of Students]]</f>
        <v>0</v>
      </c>
    </row>
    <row r="28" spans="1:10" x14ac:dyDescent="0.35">
      <c r="A28" t="s">
        <v>27</v>
      </c>
      <c r="B28">
        <v>450</v>
      </c>
      <c r="C28">
        <v>1</v>
      </c>
      <c r="D28" s="3">
        <f>Table2[[#This Row],['# with Full 
Medical Exemption]]/Table2[[#This Row],['# of Students]]</f>
        <v>2.2222222222222222E-3</v>
      </c>
      <c r="E28">
        <v>1</v>
      </c>
      <c r="F28" s="3">
        <f>Table2[[#This Row],['# UTD with 
Partial Medical Exemption]]/Table2[[#This Row],['# of Students]]</f>
        <v>2.2222222222222222E-3</v>
      </c>
      <c r="G28">
        <v>3</v>
      </c>
      <c r="H28" s="3">
        <f>Table2[[#This Row],['# with Full 
Religous Exemption]]/Table2[[#This Row],['# of Students]]</f>
        <v>6.6666666666666671E-3</v>
      </c>
      <c r="I28">
        <v>0</v>
      </c>
      <c r="J28" s="3">
        <f>Table2[[#This Row],['# UTD with 
Partial Religious Exemption]]/Table2[[#This Row],['# of Students]]</f>
        <v>0</v>
      </c>
    </row>
    <row r="29" spans="1:10" x14ac:dyDescent="0.35">
      <c r="A29" t="s">
        <v>28</v>
      </c>
      <c r="B29">
        <v>1250</v>
      </c>
      <c r="C29">
        <v>0</v>
      </c>
      <c r="D29" s="3">
        <f>Table2[[#This Row],['# with Full 
Medical Exemption]]/Table2[[#This Row],['# of Students]]</f>
        <v>0</v>
      </c>
      <c r="E29">
        <v>0</v>
      </c>
      <c r="F29" s="3">
        <f>Table2[[#This Row],['# UTD with 
Partial Medical Exemption]]/Table2[[#This Row],['# of Students]]</f>
        <v>0</v>
      </c>
      <c r="G29">
        <v>11</v>
      </c>
      <c r="H29" s="3">
        <f>Table2[[#This Row],['# with Full 
Religous Exemption]]/Table2[[#This Row],['# of Students]]</f>
        <v>8.8000000000000005E-3</v>
      </c>
      <c r="I29">
        <v>0</v>
      </c>
      <c r="J29" s="3">
        <f>Table2[[#This Row],['# UTD with 
Partial Religious Exemption]]/Table2[[#This Row],['# of Students]]</f>
        <v>0</v>
      </c>
    </row>
    <row r="30" spans="1:10" x14ac:dyDescent="0.35">
      <c r="A30" t="s">
        <v>29</v>
      </c>
      <c r="B30">
        <v>177</v>
      </c>
      <c r="C30">
        <v>0</v>
      </c>
      <c r="D30" s="3">
        <f>Table2[[#This Row],['# with Full 
Medical Exemption]]/Table2[[#This Row],['# of Students]]</f>
        <v>0</v>
      </c>
      <c r="E30">
        <v>0</v>
      </c>
      <c r="F30" s="3">
        <f>Table2[[#This Row],['# UTD with 
Partial Medical Exemption]]/Table2[[#This Row],['# of Students]]</f>
        <v>0</v>
      </c>
      <c r="G30">
        <v>1</v>
      </c>
      <c r="H30" s="3">
        <f>Table2[[#This Row],['# with Full 
Religous Exemption]]/Table2[[#This Row],['# of Students]]</f>
        <v>5.6497175141242938E-3</v>
      </c>
      <c r="I30">
        <v>0</v>
      </c>
      <c r="J30" s="3">
        <f>Table2[[#This Row],['# UTD with 
Partial Religious Exemption]]/Table2[[#This Row],['# of Students]]</f>
        <v>0</v>
      </c>
    </row>
    <row r="31" spans="1:10" x14ac:dyDescent="0.35">
      <c r="A31" t="s">
        <v>30</v>
      </c>
      <c r="B31">
        <v>469</v>
      </c>
      <c r="C31">
        <v>0</v>
      </c>
      <c r="D31" s="3">
        <f>Table2[[#This Row],['# with Full 
Medical Exemption]]/Table2[[#This Row],['# of Students]]</f>
        <v>0</v>
      </c>
      <c r="E31">
        <v>0</v>
      </c>
      <c r="F31" s="3">
        <f>Table2[[#This Row],['# UTD with 
Partial Medical Exemption]]/Table2[[#This Row],['# of Students]]</f>
        <v>0</v>
      </c>
      <c r="G31">
        <v>1</v>
      </c>
      <c r="H31" s="3">
        <f>Table2[[#This Row],['# with Full 
Religous Exemption]]/Table2[[#This Row],['# of Students]]</f>
        <v>2.1321961620469083E-3</v>
      </c>
      <c r="I31">
        <v>0</v>
      </c>
      <c r="J31" s="3">
        <f>Table2[[#This Row],['# UTD with 
Partial Religious Exemption]]/Table2[[#This Row],['# of Students]]</f>
        <v>0</v>
      </c>
    </row>
    <row r="32" spans="1:10" x14ac:dyDescent="0.35">
      <c r="A32" t="s">
        <v>31</v>
      </c>
      <c r="B32">
        <v>320</v>
      </c>
      <c r="C32">
        <v>0</v>
      </c>
      <c r="D32" s="3">
        <f>Table2[[#This Row],['# with Full 
Medical Exemption]]/Table2[[#This Row],['# of Students]]</f>
        <v>0</v>
      </c>
      <c r="E32">
        <v>0</v>
      </c>
      <c r="F32" s="3">
        <f>Table2[[#This Row],['# UTD with 
Partial Medical Exemption]]/Table2[[#This Row],['# of Students]]</f>
        <v>0</v>
      </c>
      <c r="G32">
        <v>2</v>
      </c>
      <c r="H32" s="3">
        <f>Table2[[#This Row],['# with Full 
Religous Exemption]]/Table2[[#This Row],['# of Students]]</f>
        <v>6.2500000000000003E-3</v>
      </c>
      <c r="I32">
        <v>0</v>
      </c>
      <c r="J32" s="3">
        <f>Table2[[#This Row],['# UTD with 
Partial Religious Exemption]]/Table2[[#This Row],['# of Students]]</f>
        <v>0</v>
      </c>
    </row>
    <row r="33" spans="1:10" x14ac:dyDescent="0.35">
      <c r="A33" t="s">
        <v>32</v>
      </c>
      <c r="B33">
        <v>85</v>
      </c>
      <c r="C33">
        <v>0</v>
      </c>
      <c r="D33" s="3">
        <f>Table2[[#This Row],['# with Full 
Medical Exemption]]/Table2[[#This Row],['# of Students]]</f>
        <v>0</v>
      </c>
      <c r="E33">
        <v>0</v>
      </c>
      <c r="F33" s="3">
        <f>Table2[[#This Row],['# UTD with 
Partial Medical Exemption]]/Table2[[#This Row],['# of Students]]</f>
        <v>0</v>
      </c>
      <c r="G33">
        <v>0</v>
      </c>
      <c r="H33" s="3">
        <f>Table2[[#This Row],['# with Full 
Religous Exemption]]/Table2[[#This Row],['# of Students]]</f>
        <v>0</v>
      </c>
      <c r="I33">
        <v>0</v>
      </c>
      <c r="J33" s="3">
        <f>Table2[[#This Row],['# UTD with 
Partial Religious Exemption]]/Table2[[#This Row],['# of Students]]</f>
        <v>0</v>
      </c>
    </row>
    <row r="34" spans="1:10" x14ac:dyDescent="0.35">
      <c r="A34" t="s">
        <v>33</v>
      </c>
      <c r="B34">
        <v>205</v>
      </c>
      <c r="C34">
        <v>0</v>
      </c>
      <c r="D34" s="3">
        <f>Table2[[#This Row],['# with Full 
Medical Exemption]]/Table2[[#This Row],['# of Students]]</f>
        <v>0</v>
      </c>
      <c r="E34">
        <v>0</v>
      </c>
      <c r="F34" s="3">
        <f>Table2[[#This Row],['# UTD with 
Partial Medical Exemption]]/Table2[[#This Row],['# of Students]]</f>
        <v>0</v>
      </c>
      <c r="G34">
        <v>0</v>
      </c>
      <c r="H34" s="3">
        <f>Table2[[#This Row],['# with Full 
Religous Exemption]]/Table2[[#This Row],['# of Students]]</f>
        <v>0</v>
      </c>
      <c r="I34">
        <v>0</v>
      </c>
      <c r="J34" s="3">
        <f>Table2[[#This Row],['# UTD with 
Partial Religious Exemption]]/Table2[[#This Row],['# of Students]]</f>
        <v>0</v>
      </c>
    </row>
    <row r="35" spans="1:10" x14ac:dyDescent="0.35">
      <c r="A35" t="s">
        <v>34</v>
      </c>
      <c r="B35">
        <v>232</v>
      </c>
      <c r="C35">
        <v>0</v>
      </c>
      <c r="D35" s="3">
        <f>Table2[[#This Row],['# with Full 
Medical Exemption]]/Table2[[#This Row],['# of Students]]</f>
        <v>0</v>
      </c>
      <c r="E35">
        <v>0</v>
      </c>
      <c r="F35" s="3">
        <f>Table2[[#This Row],['# UTD with 
Partial Medical Exemption]]/Table2[[#This Row],['# of Students]]</f>
        <v>0</v>
      </c>
      <c r="G35">
        <v>2</v>
      </c>
      <c r="H35" s="3">
        <f>Table2[[#This Row],['# with Full 
Religous Exemption]]/Table2[[#This Row],['# of Students]]</f>
        <v>8.6206896551724137E-3</v>
      </c>
      <c r="I35">
        <v>0</v>
      </c>
      <c r="J35" s="3">
        <f>Table2[[#This Row],['# UTD with 
Partial Religious Exemption]]/Table2[[#This Row],['# of Students]]</f>
        <v>0</v>
      </c>
    </row>
    <row r="36" spans="1:10" x14ac:dyDescent="0.35">
      <c r="A36" t="s">
        <v>35</v>
      </c>
      <c r="B36">
        <v>1467</v>
      </c>
      <c r="C36">
        <v>2</v>
      </c>
      <c r="D36" s="3">
        <f>Table2[[#This Row],['# with Full 
Medical Exemption]]/Table2[[#This Row],['# of Students]]</f>
        <v>1.3633265167007499E-3</v>
      </c>
      <c r="E36">
        <v>3</v>
      </c>
      <c r="F36" s="3">
        <f>Table2[[#This Row],['# UTD with 
Partial Medical Exemption]]/Table2[[#This Row],['# of Students]]</f>
        <v>2.0449897750511249E-3</v>
      </c>
      <c r="G36">
        <v>4</v>
      </c>
      <c r="H36" s="3">
        <f>Table2[[#This Row],['# with Full 
Religous Exemption]]/Table2[[#This Row],['# of Students]]</f>
        <v>2.7266530334014998E-3</v>
      </c>
      <c r="I36">
        <v>0</v>
      </c>
      <c r="J36" s="3">
        <f>Table2[[#This Row],['# UTD with 
Partial Religious Exemption]]/Table2[[#This Row],['# of Students]]</f>
        <v>0</v>
      </c>
    </row>
    <row r="37" spans="1:10" x14ac:dyDescent="0.35">
      <c r="A37" t="s">
        <v>36</v>
      </c>
      <c r="B37">
        <v>587</v>
      </c>
      <c r="C37">
        <v>0</v>
      </c>
      <c r="D37" s="3">
        <f>Table2[[#This Row],['# with Full 
Medical Exemption]]/Table2[[#This Row],['# of Students]]</f>
        <v>0</v>
      </c>
      <c r="E37">
        <v>0</v>
      </c>
      <c r="F37" s="3">
        <f>Table2[[#This Row],['# UTD with 
Partial Medical Exemption]]/Table2[[#This Row],['# of Students]]</f>
        <v>0</v>
      </c>
      <c r="G37">
        <v>5</v>
      </c>
      <c r="H37" s="3">
        <f>Table2[[#This Row],['# with Full 
Religous Exemption]]/Table2[[#This Row],['# of Students]]</f>
        <v>8.5178875638841564E-3</v>
      </c>
      <c r="I37">
        <v>0</v>
      </c>
      <c r="J37" s="3">
        <f>Table2[[#This Row],['# UTD with 
Partial Religious Exemption]]/Table2[[#This Row],['# of Students]]</f>
        <v>0</v>
      </c>
    </row>
    <row r="38" spans="1:10" x14ac:dyDescent="0.35">
      <c r="A38" t="s">
        <v>37</v>
      </c>
      <c r="B38">
        <v>8756</v>
      </c>
      <c r="C38">
        <v>2</v>
      </c>
      <c r="D38" s="3">
        <f>Table2[[#This Row],['# with Full 
Medical Exemption]]/Table2[[#This Row],['# of Students]]</f>
        <v>2.2841480127912289E-4</v>
      </c>
      <c r="E38">
        <v>3</v>
      </c>
      <c r="F38" s="3">
        <f>Table2[[#This Row],['# UTD with 
Partial Medical Exemption]]/Table2[[#This Row],['# of Students]]</f>
        <v>3.4262220191868436E-4</v>
      </c>
      <c r="G38">
        <v>52</v>
      </c>
      <c r="H38" s="3">
        <f>Table2[[#This Row],['# with Full 
Religous Exemption]]/Table2[[#This Row],['# of Students]]</f>
        <v>5.9387848332571949E-3</v>
      </c>
      <c r="I38">
        <v>1</v>
      </c>
      <c r="J38" s="3">
        <f>Table2[[#This Row],['# UTD with 
Partial Religious Exemption]]/Table2[[#This Row],['# of Students]]</f>
        <v>1.1420740063956144E-4</v>
      </c>
    </row>
    <row r="39" spans="1:10" x14ac:dyDescent="0.35">
      <c r="A39" t="s">
        <v>38</v>
      </c>
      <c r="B39">
        <v>177</v>
      </c>
      <c r="C39">
        <v>0</v>
      </c>
      <c r="D39" s="3">
        <f>Table2[[#This Row],['# with Full 
Medical Exemption]]/Table2[[#This Row],['# of Students]]</f>
        <v>0</v>
      </c>
      <c r="E39">
        <v>0</v>
      </c>
      <c r="F39" s="3">
        <f>Table2[[#This Row],['# UTD with 
Partial Medical Exemption]]/Table2[[#This Row],['# of Students]]</f>
        <v>0</v>
      </c>
      <c r="G39">
        <v>1</v>
      </c>
      <c r="H39" s="3">
        <f>Table2[[#This Row],['# with Full 
Religous Exemption]]/Table2[[#This Row],['# of Students]]</f>
        <v>5.6497175141242938E-3</v>
      </c>
      <c r="I39">
        <v>0</v>
      </c>
      <c r="J39" s="3">
        <f>Table2[[#This Row],['# UTD with 
Partial Religious Exemption]]/Table2[[#This Row],['# of Students]]</f>
        <v>0</v>
      </c>
    </row>
    <row r="40" spans="1:10" x14ac:dyDescent="0.35">
      <c r="A40" t="s">
        <v>39</v>
      </c>
      <c r="B40">
        <v>1053</v>
      </c>
      <c r="C40">
        <v>2</v>
      </c>
      <c r="D40" s="3">
        <f>Table2[[#This Row],['# with Full 
Medical Exemption]]/Table2[[#This Row],['# of Students]]</f>
        <v>1.8993352326685661E-3</v>
      </c>
      <c r="E40">
        <v>0</v>
      </c>
      <c r="F40" s="3">
        <f>Table2[[#This Row],['# UTD with 
Partial Medical Exemption]]/Table2[[#This Row],['# of Students]]</f>
        <v>0</v>
      </c>
      <c r="G40">
        <v>15</v>
      </c>
      <c r="H40" s="3">
        <f>Table2[[#This Row],['# with Full 
Religous Exemption]]/Table2[[#This Row],['# of Students]]</f>
        <v>1.4245014245014245E-2</v>
      </c>
      <c r="I40">
        <v>0</v>
      </c>
      <c r="J40" s="3">
        <f>Table2[[#This Row],['# UTD with 
Partial Religious Exemption]]/Table2[[#This Row],['# of Students]]</f>
        <v>0</v>
      </c>
    </row>
    <row r="41" spans="1:10" x14ac:dyDescent="0.35">
      <c r="A41" t="s">
        <v>40</v>
      </c>
      <c r="B41">
        <v>391</v>
      </c>
      <c r="C41">
        <v>0</v>
      </c>
      <c r="D41" s="3">
        <f>Table2[[#This Row],['# with Full 
Medical Exemption]]/Table2[[#This Row],['# of Students]]</f>
        <v>0</v>
      </c>
      <c r="E41">
        <v>1</v>
      </c>
      <c r="F41" s="3">
        <f>Table2[[#This Row],['# UTD with 
Partial Medical Exemption]]/Table2[[#This Row],['# of Students]]</f>
        <v>2.5575447570332483E-3</v>
      </c>
      <c r="G41">
        <v>2</v>
      </c>
      <c r="H41" s="3">
        <f>Table2[[#This Row],['# with Full 
Religous Exemption]]/Table2[[#This Row],['# of Students]]</f>
        <v>5.1150895140664966E-3</v>
      </c>
      <c r="I41">
        <v>0</v>
      </c>
      <c r="J41" s="3">
        <f>Table2[[#This Row],['# UTD with 
Partial Religious Exemption]]/Table2[[#This Row],['# of Students]]</f>
        <v>0</v>
      </c>
    </row>
    <row r="42" spans="1:10" x14ac:dyDescent="0.35">
      <c r="A42" t="s">
        <v>41</v>
      </c>
      <c r="B42">
        <v>2089</v>
      </c>
      <c r="C42">
        <v>0</v>
      </c>
      <c r="D42" s="3">
        <f>Table2[[#This Row],['# with Full 
Medical Exemption]]/Table2[[#This Row],['# of Students]]</f>
        <v>0</v>
      </c>
      <c r="E42">
        <v>2</v>
      </c>
      <c r="F42" s="3">
        <f>Table2[[#This Row],['# UTD with 
Partial Medical Exemption]]/Table2[[#This Row],['# of Students]]</f>
        <v>9.5739588319770225E-4</v>
      </c>
      <c r="G42">
        <v>12</v>
      </c>
      <c r="H42" s="3">
        <f>Table2[[#This Row],['# with Full 
Religous Exemption]]/Table2[[#This Row],['# of Students]]</f>
        <v>5.7443752991862135E-3</v>
      </c>
      <c r="I42">
        <v>0</v>
      </c>
      <c r="J42" s="3">
        <f>Table2[[#This Row],['# UTD with 
Partial Religious Exemption]]/Table2[[#This Row],['# of Students]]</f>
        <v>0</v>
      </c>
    </row>
    <row r="43" spans="1:10" x14ac:dyDescent="0.35">
      <c r="A43" t="s">
        <v>42</v>
      </c>
      <c r="B43">
        <v>1812</v>
      </c>
      <c r="C43">
        <v>1</v>
      </c>
      <c r="D43" s="3">
        <f>Table2[[#This Row],['# with Full 
Medical Exemption]]/Table2[[#This Row],['# of Students]]</f>
        <v>5.5187637969094923E-4</v>
      </c>
      <c r="E43">
        <v>2</v>
      </c>
      <c r="F43" s="3">
        <f>Table2[[#This Row],['# UTD with 
Partial Medical Exemption]]/Table2[[#This Row],['# of Students]]</f>
        <v>1.1037527593818985E-3</v>
      </c>
      <c r="G43">
        <v>12</v>
      </c>
      <c r="H43" s="3">
        <f>Table2[[#This Row],['# with Full 
Religous Exemption]]/Table2[[#This Row],['# of Students]]</f>
        <v>6.6225165562913907E-3</v>
      </c>
      <c r="I43">
        <v>1</v>
      </c>
      <c r="J43" s="3">
        <f>Table2[[#This Row],['# UTD with 
Partial Religious Exemption]]/Table2[[#This Row],['# of Students]]</f>
        <v>5.5187637969094923E-4</v>
      </c>
    </row>
    <row r="44" spans="1:10" x14ac:dyDescent="0.35">
      <c r="A44" t="s">
        <v>43</v>
      </c>
      <c r="B44">
        <v>147</v>
      </c>
      <c r="C44">
        <v>0</v>
      </c>
      <c r="D44" s="3">
        <f>Table2[[#This Row],['# with Full 
Medical Exemption]]/Table2[[#This Row],['# of Students]]</f>
        <v>0</v>
      </c>
      <c r="E44">
        <v>0</v>
      </c>
      <c r="F44" s="3">
        <f>Table2[[#This Row],['# UTD with 
Partial Medical Exemption]]/Table2[[#This Row],['# of Students]]</f>
        <v>0</v>
      </c>
      <c r="G44">
        <v>0</v>
      </c>
      <c r="H44" s="3">
        <f>Table2[[#This Row],['# with Full 
Religous Exemption]]/Table2[[#This Row],['# of Students]]</f>
        <v>0</v>
      </c>
      <c r="I44">
        <v>0</v>
      </c>
      <c r="J44" s="3">
        <f>Table2[[#This Row],['# UTD with 
Partial Religious Exemption]]/Table2[[#This Row],['# of Students]]</f>
        <v>0</v>
      </c>
    </row>
    <row r="45" spans="1:10" x14ac:dyDescent="0.35">
      <c r="A45" t="s">
        <v>44</v>
      </c>
      <c r="B45">
        <v>151</v>
      </c>
      <c r="C45">
        <v>0</v>
      </c>
      <c r="D45" s="3">
        <f>Table2[[#This Row],['# with Full 
Medical Exemption]]/Table2[[#This Row],['# of Students]]</f>
        <v>0</v>
      </c>
      <c r="E45">
        <v>0</v>
      </c>
      <c r="F45" s="3">
        <f>Table2[[#This Row],['# UTD with 
Partial Medical Exemption]]/Table2[[#This Row],['# of Students]]</f>
        <v>0</v>
      </c>
      <c r="G45">
        <v>5</v>
      </c>
      <c r="H45" s="3">
        <f>Table2[[#This Row],['# with Full 
Religous Exemption]]/Table2[[#This Row],['# of Students]]</f>
        <v>3.3112582781456956E-2</v>
      </c>
      <c r="I45">
        <v>0</v>
      </c>
      <c r="J45" s="3">
        <f>Table2[[#This Row],['# UTD with 
Partial Religious Exemption]]/Table2[[#This Row],['# of Students]]</f>
        <v>0</v>
      </c>
    </row>
    <row r="46" spans="1:10" x14ac:dyDescent="0.35">
      <c r="A46" t="s">
        <v>45</v>
      </c>
      <c r="B46">
        <v>5129</v>
      </c>
      <c r="C46">
        <v>4</v>
      </c>
      <c r="D46" s="3">
        <f>Table2[[#This Row],['# with Full 
Medical Exemption]]/Table2[[#This Row],['# of Students]]</f>
        <v>7.7987911873659578E-4</v>
      </c>
      <c r="E46">
        <v>3</v>
      </c>
      <c r="F46" s="3">
        <f>Table2[[#This Row],['# UTD with 
Partial Medical Exemption]]/Table2[[#This Row],['# of Students]]</f>
        <v>5.8490933905244692E-4</v>
      </c>
      <c r="G46">
        <v>42</v>
      </c>
      <c r="H46" s="3">
        <f>Table2[[#This Row],['# with Full 
Religous Exemption]]/Table2[[#This Row],['# of Students]]</f>
        <v>8.188730746734256E-3</v>
      </c>
      <c r="I46">
        <v>1</v>
      </c>
      <c r="J46" s="3">
        <f>Table2[[#This Row],['# UTD with 
Partial Religious Exemption]]/Table2[[#This Row],['# of Students]]</f>
        <v>1.9496977968414895E-4</v>
      </c>
    </row>
    <row r="47" spans="1:10" x14ac:dyDescent="0.35">
      <c r="A47" t="s">
        <v>46</v>
      </c>
      <c r="B47">
        <v>318</v>
      </c>
      <c r="C47">
        <v>0</v>
      </c>
      <c r="D47" s="3">
        <f>Table2[[#This Row],['# with Full 
Medical Exemption]]/Table2[[#This Row],['# of Students]]</f>
        <v>0</v>
      </c>
      <c r="E47">
        <v>0</v>
      </c>
      <c r="F47" s="3">
        <f>Table2[[#This Row],['# UTD with 
Partial Medical Exemption]]/Table2[[#This Row],['# of Students]]</f>
        <v>0</v>
      </c>
      <c r="G47">
        <v>0</v>
      </c>
      <c r="H47" s="3">
        <f>Table2[[#This Row],['# with Full 
Religous Exemption]]/Table2[[#This Row],['# of Students]]</f>
        <v>0</v>
      </c>
      <c r="I47">
        <v>0</v>
      </c>
      <c r="J47" s="3">
        <f>Table2[[#This Row],['# UTD with 
Partial Religious Exemption]]/Table2[[#This Row],['# of Students]]</f>
        <v>0</v>
      </c>
    </row>
    <row r="48" spans="1:10" x14ac:dyDescent="0.35">
      <c r="A48" t="s">
        <v>47</v>
      </c>
      <c r="B48">
        <v>412</v>
      </c>
      <c r="C48">
        <v>0</v>
      </c>
      <c r="D48" s="3">
        <f>Table2[[#This Row],['# with Full 
Medical Exemption]]/Table2[[#This Row],['# of Students]]</f>
        <v>0</v>
      </c>
      <c r="E48">
        <v>0</v>
      </c>
      <c r="F48" s="3">
        <f>Table2[[#This Row],['# UTD with 
Partial Medical Exemption]]/Table2[[#This Row],['# of Students]]</f>
        <v>0</v>
      </c>
      <c r="G48">
        <v>2</v>
      </c>
      <c r="H48" s="3">
        <f>Table2[[#This Row],['# with Full 
Religous Exemption]]/Table2[[#This Row],['# of Students]]</f>
        <v>4.8543689320388345E-3</v>
      </c>
      <c r="I48">
        <v>0</v>
      </c>
      <c r="J48" s="3">
        <f>Table2[[#This Row],['# UTD with 
Partial Religious Exemption]]/Table2[[#This Row],['# of Students]]</f>
        <v>0</v>
      </c>
    </row>
    <row r="49" spans="1:10" x14ac:dyDescent="0.35">
      <c r="A49" t="s">
        <v>48</v>
      </c>
      <c r="B49">
        <v>1525</v>
      </c>
      <c r="C49">
        <v>0</v>
      </c>
      <c r="D49" s="3">
        <f>Table2[[#This Row],['# with Full 
Medical Exemption]]/Table2[[#This Row],['# of Students]]</f>
        <v>0</v>
      </c>
      <c r="E49">
        <v>1</v>
      </c>
      <c r="F49" s="3">
        <f>Table2[[#This Row],['# UTD with 
Partial Medical Exemption]]/Table2[[#This Row],['# of Students]]</f>
        <v>6.5573770491803279E-4</v>
      </c>
      <c r="G49">
        <v>5</v>
      </c>
      <c r="H49" s="3">
        <f>Table2[[#This Row],['# with Full 
Religous Exemption]]/Table2[[#This Row],['# of Students]]</f>
        <v>3.2786885245901639E-3</v>
      </c>
      <c r="I49">
        <v>0</v>
      </c>
      <c r="J49" s="3">
        <f>Table2[[#This Row],['# UTD with 
Partial Religious Exemption]]/Table2[[#This Row],['# of Students]]</f>
        <v>0</v>
      </c>
    </row>
    <row r="50" spans="1:10" x14ac:dyDescent="0.35">
      <c r="A50" t="s">
        <v>49</v>
      </c>
      <c r="B50">
        <v>6196</v>
      </c>
      <c r="C50">
        <v>0</v>
      </c>
      <c r="D50" s="3">
        <f>Table2[[#This Row],['# with Full 
Medical Exemption]]/Table2[[#This Row],['# of Students]]</f>
        <v>0</v>
      </c>
      <c r="E50">
        <v>2</v>
      </c>
      <c r="F50" s="3">
        <f>Table2[[#This Row],['# UTD with 
Partial Medical Exemption]]/Table2[[#This Row],['# of Students]]</f>
        <v>3.2278889606197545E-4</v>
      </c>
      <c r="G50">
        <v>62</v>
      </c>
      <c r="H50" s="3">
        <f>Table2[[#This Row],['# with Full 
Religous Exemption]]/Table2[[#This Row],['# of Students]]</f>
        <v>1.0006455777921239E-2</v>
      </c>
      <c r="I50">
        <v>0</v>
      </c>
      <c r="J50" s="3">
        <f>Table2[[#This Row],['# UTD with 
Partial Religious Exemption]]/Table2[[#This Row],['# of Students]]</f>
        <v>0</v>
      </c>
    </row>
    <row r="51" spans="1:10" x14ac:dyDescent="0.35">
      <c r="A51" t="s">
        <v>50</v>
      </c>
      <c r="B51">
        <v>313</v>
      </c>
      <c r="C51">
        <v>0</v>
      </c>
      <c r="D51" s="3">
        <f>Table2[[#This Row],['# with Full 
Medical Exemption]]/Table2[[#This Row],['# of Students]]</f>
        <v>0</v>
      </c>
      <c r="E51">
        <v>0</v>
      </c>
      <c r="F51" s="3">
        <f>Table2[[#This Row],['# UTD with 
Partial Medical Exemption]]/Table2[[#This Row],['# of Students]]</f>
        <v>0</v>
      </c>
      <c r="G51">
        <v>1</v>
      </c>
      <c r="H51" s="3">
        <f>Table2[[#This Row],['# with Full 
Religous Exemption]]/Table2[[#This Row],['# of Students]]</f>
        <v>3.1948881789137379E-3</v>
      </c>
      <c r="I51">
        <v>0</v>
      </c>
      <c r="J51" s="3">
        <f>Table2[[#This Row],['# UTD with 
Partial Religious Exemption]]/Table2[[#This Row],['# of Students]]</f>
        <v>0</v>
      </c>
    </row>
    <row r="52" spans="1:10" x14ac:dyDescent="0.35">
      <c r="A52" t="s">
        <v>51</v>
      </c>
      <c r="B52">
        <v>3430</v>
      </c>
      <c r="C52">
        <v>1</v>
      </c>
      <c r="D52" s="3">
        <f>Table2[[#This Row],['# with Full 
Medical Exemption]]/Table2[[#This Row],['# of Students]]</f>
        <v>2.9154518950437317E-4</v>
      </c>
      <c r="E52">
        <v>1</v>
      </c>
      <c r="F52" s="3">
        <f>Table2[[#This Row],['# UTD with 
Partial Medical Exemption]]/Table2[[#This Row],['# of Students]]</f>
        <v>2.9154518950437317E-4</v>
      </c>
      <c r="G52">
        <v>11</v>
      </c>
      <c r="H52" s="3">
        <f>Table2[[#This Row],['# with Full 
Religous Exemption]]/Table2[[#This Row],['# of Students]]</f>
        <v>3.2069970845481051E-3</v>
      </c>
      <c r="I52">
        <v>0</v>
      </c>
      <c r="J52" s="3">
        <f>Table2[[#This Row],['# UTD with 
Partial Religious Exemption]]/Table2[[#This Row],['# of Students]]</f>
        <v>0</v>
      </c>
    </row>
    <row r="53" spans="1:10" x14ac:dyDescent="0.35">
      <c r="A53" t="s">
        <v>52</v>
      </c>
      <c r="B53">
        <v>1574</v>
      </c>
      <c r="C53">
        <v>0</v>
      </c>
      <c r="D53" s="3">
        <f>Table2[[#This Row],['# with Full 
Medical Exemption]]/Table2[[#This Row],['# of Students]]</f>
        <v>0</v>
      </c>
      <c r="E53">
        <v>0</v>
      </c>
      <c r="F53" s="3">
        <f>Table2[[#This Row],['# UTD with 
Partial Medical Exemption]]/Table2[[#This Row],['# of Students]]</f>
        <v>0</v>
      </c>
      <c r="G53">
        <v>6</v>
      </c>
      <c r="H53" s="3">
        <f>Table2[[#This Row],['# with Full 
Religous Exemption]]/Table2[[#This Row],['# of Students]]</f>
        <v>3.8119440914866584E-3</v>
      </c>
      <c r="I53">
        <v>0</v>
      </c>
      <c r="J53" s="3">
        <f>Table2[[#This Row],['# UTD with 
Partial Religious Exemption]]/Table2[[#This Row],['# of Students]]</f>
        <v>0</v>
      </c>
    </row>
    <row r="54" spans="1:10" x14ac:dyDescent="0.35">
      <c r="A54" t="s">
        <v>53</v>
      </c>
      <c r="B54">
        <v>113</v>
      </c>
      <c r="C54">
        <v>0</v>
      </c>
      <c r="D54" s="3">
        <f>Table2[[#This Row],['# with Full 
Medical Exemption]]/Table2[[#This Row],['# of Students]]</f>
        <v>0</v>
      </c>
      <c r="E54">
        <v>0</v>
      </c>
      <c r="F54" s="3">
        <f>Table2[[#This Row],['# UTD with 
Partial Medical Exemption]]/Table2[[#This Row],['# of Students]]</f>
        <v>0</v>
      </c>
      <c r="G54">
        <v>0</v>
      </c>
      <c r="H54" s="3">
        <f>Table2[[#This Row],['# with Full 
Religous Exemption]]/Table2[[#This Row],['# of Students]]</f>
        <v>0</v>
      </c>
      <c r="I54">
        <v>0</v>
      </c>
      <c r="J54" s="3">
        <f>Table2[[#This Row],['# UTD with 
Partial Religious Exemption]]/Table2[[#This Row],['# of Students]]</f>
        <v>0</v>
      </c>
    </row>
    <row r="55" spans="1:10" x14ac:dyDescent="0.35">
      <c r="A55" t="s">
        <v>54</v>
      </c>
      <c r="B55">
        <v>189</v>
      </c>
      <c r="C55">
        <v>0</v>
      </c>
      <c r="D55" s="3">
        <f>Table2[[#This Row],['# with Full 
Medical Exemption]]/Table2[[#This Row],['# of Students]]</f>
        <v>0</v>
      </c>
      <c r="E55">
        <v>0</v>
      </c>
      <c r="F55" s="3">
        <f>Table2[[#This Row],['# UTD with 
Partial Medical Exemption]]/Table2[[#This Row],['# of Students]]</f>
        <v>0</v>
      </c>
      <c r="G55">
        <v>0</v>
      </c>
      <c r="H55" s="3">
        <f>Table2[[#This Row],['# with Full 
Religous Exemption]]/Table2[[#This Row],['# of Students]]</f>
        <v>0</v>
      </c>
      <c r="I55">
        <v>0</v>
      </c>
      <c r="J55" s="3">
        <f>Table2[[#This Row],['# UTD with 
Partial Religious Exemption]]/Table2[[#This Row],['# of Students]]</f>
        <v>0</v>
      </c>
    </row>
    <row r="56" spans="1:10" x14ac:dyDescent="0.35">
      <c r="A56" t="s">
        <v>55</v>
      </c>
      <c r="B56">
        <v>380</v>
      </c>
      <c r="C56">
        <v>1</v>
      </c>
      <c r="D56" s="3">
        <f>Table2[[#This Row],['# with Full 
Medical Exemption]]/Table2[[#This Row],['# of Students]]</f>
        <v>2.631578947368421E-3</v>
      </c>
      <c r="E56">
        <v>0</v>
      </c>
      <c r="F56" s="3">
        <f>Table2[[#This Row],['# UTD with 
Partial Medical Exemption]]/Table2[[#This Row],['# of Students]]</f>
        <v>0</v>
      </c>
      <c r="G56">
        <v>2</v>
      </c>
      <c r="H56" s="3">
        <f>Table2[[#This Row],['# with Full 
Religous Exemption]]/Table2[[#This Row],['# of Students]]</f>
        <v>5.263157894736842E-3</v>
      </c>
      <c r="I56">
        <v>0</v>
      </c>
      <c r="J56" s="3">
        <f>Table2[[#This Row],['# UTD with 
Partial Religious Exemption]]/Table2[[#This Row],['# of Students]]</f>
        <v>0</v>
      </c>
    </row>
    <row r="57" spans="1:10" x14ac:dyDescent="0.35">
      <c r="A57" t="s">
        <v>56</v>
      </c>
      <c r="B57">
        <v>341</v>
      </c>
      <c r="C57">
        <v>0</v>
      </c>
      <c r="D57" s="3">
        <f>Table2[[#This Row],['# with Full 
Medical Exemption]]/Table2[[#This Row],['# of Students]]</f>
        <v>0</v>
      </c>
      <c r="E57">
        <v>0</v>
      </c>
      <c r="F57" s="3">
        <f>Table2[[#This Row],['# UTD with 
Partial Medical Exemption]]/Table2[[#This Row],['# of Students]]</f>
        <v>0</v>
      </c>
      <c r="G57">
        <v>5</v>
      </c>
      <c r="H57" s="3">
        <f>Table2[[#This Row],['# with Full 
Religous Exemption]]/Table2[[#This Row],['# of Students]]</f>
        <v>1.466275659824047E-2</v>
      </c>
      <c r="I57">
        <v>0</v>
      </c>
      <c r="J57" s="3">
        <f>Table2[[#This Row],['# UTD with 
Partial Religious Exemption]]/Table2[[#This Row],['# of Students]]</f>
        <v>0</v>
      </c>
    </row>
    <row r="58" spans="1:10" x14ac:dyDescent="0.35">
      <c r="A58" t="s">
        <v>57</v>
      </c>
      <c r="B58">
        <v>954</v>
      </c>
      <c r="C58">
        <v>0</v>
      </c>
      <c r="D58" s="3">
        <f>Table2[[#This Row],['# with Full 
Medical Exemption]]/Table2[[#This Row],['# of Students]]</f>
        <v>0</v>
      </c>
      <c r="E58">
        <v>1</v>
      </c>
      <c r="F58" s="3">
        <f>Table2[[#This Row],['# UTD with 
Partial Medical Exemption]]/Table2[[#This Row],['# of Students]]</f>
        <v>1.0482180293501049E-3</v>
      </c>
      <c r="G58">
        <v>2</v>
      </c>
      <c r="H58" s="3">
        <f>Table2[[#This Row],['# with Full 
Religous Exemption]]/Table2[[#This Row],['# of Students]]</f>
        <v>2.0964360587002098E-3</v>
      </c>
      <c r="I58">
        <v>0</v>
      </c>
      <c r="J58" s="3">
        <f>Table2[[#This Row],['# UTD with 
Partial Religious Exemption]]/Table2[[#This Row],['# of Students]]</f>
        <v>0</v>
      </c>
    </row>
    <row r="59" spans="1:10" x14ac:dyDescent="0.35">
      <c r="A59" t="s">
        <v>58</v>
      </c>
      <c r="B59">
        <v>3427</v>
      </c>
      <c r="C59">
        <v>3</v>
      </c>
      <c r="D59" s="3">
        <f>Table2[[#This Row],['# with Full 
Medical Exemption]]/Table2[[#This Row],['# of Students]]</f>
        <v>8.7540122556171583E-4</v>
      </c>
      <c r="E59">
        <v>4</v>
      </c>
      <c r="F59" s="3">
        <f>Table2[[#This Row],['# UTD with 
Partial Medical Exemption]]/Table2[[#This Row],['# of Students]]</f>
        <v>1.1672016340822876E-3</v>
      </c>
      <c r="G59">
        <v>47</v>
      </c>
      <c r="H59" s="3">
        <f>Table2[[#This Row],['# with Full 
Religous Exemption]]/Table2[[#This Row],['# of Students]]</f>
        <v>1.371461920046688E-2</v>
      </c>
      <c r="I59">
        <v>0</v>
      </c>
      <c r="J59" s="3">
        <f>Table2[[#This Row],['# UTD with 
Partial Religious Exemption]]/Table2[[#This Row],['# of Students]]</f>
        <v>0</v>
      </c>
    </row>
    <row r="60" spans="1:10" x14ac:dyDescent="0.35">
      <c r="A60" t="s">
        <v>59</v>
      </c>
      <c r="B60">
        <v>1120</v>
      </c>
      <c r="C60">
        <v>1</v>
      </c>
      <c r="D60" s="3">
        <f>Table2[[#This Row],['# with Full 
Medical Exemption]]/Table2[[#This Row],['# of Students]]</f>
        <v>8.9285714285714283E-4</v>
      </c>
      <c r="E60">
        <v>0</v>
      </c>
      <c r="F60" s="3">
        <f>Table2[[#This Row],['# UTD with 
Partial Medical Exemption]]/Table2[[#This Row],['# of Students]]</f>
        <v>0</v>
      </c>
      <c r="G60">
        <v>12</v>
      </c>
      <c r="H60" s="3">
        <f>Table2[[#This Row],['# with Full 
Religous Exemption]]/Table2[[#This Row],['# of Students]]</f>
        <v>1.0714285714285714E-2</v>
      </c>
      <c r="I60">
        <v>0</v>
      </c>
      <c r="J60" s="3">
        <f>Table2[[#This Row],['# UTD with 
Partial Religious Exemption]]/Table2[[#This Row],['# of Students]]</f>
        <v>0</v>
      </c>
    </row>
    <row r="61" spans="1:10" x14ac:dyDescent="0.35">
      <c r="A61" t="s">
        <v>60</v>
      </c>
      <c r="B61">
        <v>130</v>
      </c>
      <c r="C61">
        <v>0</v>
      </c>
      <c r="D61" s="3">
        <f>Table2[[#This Row],['# with Full 
Medical Exemption]]/Table2[[#This Row],['# of Students]]</f>
        <v>0</v>
      </c>
      <c r="E61">
        <v>0</v>
      </c>
      <c r="F61" s="3">
        <f>Table2[[#This Row],['# UTD with 
Partial Medical Exemption]]/Table2[[#This Row],['# of Students]]</f>
        <v>0</v>
      </c>
      <c r="G61">
        <v>1</v>
      </c>
      <c r="H61" s="3">
        <f>Table2[[#This Row],['# with Full 
Religous Exemption]]/Table2[[#This Row],['# of Students]]</f>
        <v>7.6923076923076927E-3</v>
      </c>
      <c r="I61">
        <v>0</v>
      </c>
      <c r="J61" s="3">
        <f>Table2[[#This Row],['# UTD with 
Partial Religious Exemption]]/Table2[[#This Row],['# of Students]]</f>
        <v>0</v>
      </c>
    </row>
    <row r="62" spans="1:10" x14ac:dyDescent="0.35">
      <c r="A62" t="s">
        <v>61</v>
      </c>
      <c r="B62">
        <v>937</v>
      </c>
      <c r="C62">
        <v>0</v>
      </c>
      <c r="D62" s="3">
        <f>Table2[[#This Row],['# with Full 
Medical Exemption]]/Table2[[#This Row],['# of Students]]</f>
        <v>0</v>
      </c>
      <c r="E62">
        <v>0</v>
      </c>
      <c r="F62" s="3">
        <f>Table2[[#This Row],['# UTD with 
Partial Medical Exemption]]/Table2[[#This Row],['# of Students]]</f>
        <v>0</v>
      </c>
      <c r="G62">
        <v>3</v>
      </c>
      <c r="H62" s="3">
        <f>Table2[[#This Row],['# with Full 
Religous Exemption]]/Table2[[#This Row],['# of Students]]</f>
        <v>3.2017075773745998E-3</v>
      </c>
      <c r="I62">
        <v>0</v>
      </c>
      <c r="J62" s="3">
        <f>Table2[[#This Row],['# UTD with 
Partial Religious Exemption]]/Table2[[#This Row],['# of Students]]</f>
        <v>0</v>
      </c>
    </row>
    <row r="63" spans="1:10" x14ac:dyDescent="0.35">
      <c r="A63" t="s">
        <v>62</v>
      </c>
      <c r="B63">
        <v>453</v>
      </c>
      <c r="C63">
        <v>1</v>
      </c>
      <c r="D63" s="3">
        <f>Table2[[#This Row],['# with Full 
Medical Exemption]]/Table2[[#This Row],['# of Students]]</f>
        <v>2.2075055187637969E-3</v>
      </c>
      <c r="E63">
        <v>1</v>
      </c>
      <c r="F63" s="3">
        <f>Table2[[#This Row],['# UTD with 
Partial Medical Exemption]]/Table2[[#This Row],['# of Students]]</f>
        <v>2.2075055187637969E-3</v>
      </c>
      <c r="G63">
        <v>3</v>
      </c>
      <c r="H63" s="3">
        <f>Table2[[#This Row],['# with Full 
Religous Exemption]]/Table2[[#This Row],['# of Students]]</f>
        <v>6.6225165562913907E-3</v>
      </c>
      <c r="I63">
        <v>0</v>
      </c>
      <c r="J63" s="3">
        <f>Table2[[#This Row],['# UTD with 
Partial Religious Exemption]]/Table2[[#This Row],['# of Students]]</f>
        <v>0</v>
      </c>
    </row>
    <row r="64" spans="1:10" x14ac:dyDescent="0.35">
      <c r="A64" t="s">
        <v>63</v>
      </c>
      <c r="B64">
        <v>2750</v>
      </c>
      <c r="C64">
        <v>2</v>
      </c>
      <c r="D64" s="3">
        <f>Table2[[#This Row],['# with Full 
Medical Exemption]]/Table2[[#This Row],['# of Students]]</f>
        <v>7.2727272727272723E-4</v>
      </c>
      <c r="E64">
        <v>1</v>
      </c>
      <c r="F64" s="3">
        <f>Table2[[#This Row],['# UTD with 
Partial Medical Exemption]]/Table2[[#This Row],['# of Students]]</f>
        <v>3.6363636363636361E-4</v>
      </c>
      <c r="G64">
        <v>13</v>
      </c>
      <c r="H64" s="3">
        <f>Table2[[#This Row],['# with Full 
Religous Exemption]]/Table2[[#This Row],['# of Students]]</f>
        <v>4.7272727272727275E-3</v>
      </c>
      <c r="I64">
        <v>0</v>
      </c>
      <c r="J64" s="3">
        <f>Table2[[#This Row],['# UTD with 
Partial Religious Exemption]]/Table2[[#This Row],['# of Students]]</f>
        <v>0</v>
      </c>
    </row>
    <row r="65" spans="1:10" x14ac:dyDescent="0.35">
      <c r="A65" t="s">
        <v>64</v>
      </c>
      <c r="B65">
        <v>774</v>
      </c>
      <c r="C65">
        <v>0</v>
      </c>
      <c r="D65" s="3">
        <f>Table2[[#This Row],['# with Full 
Medical Exemption]]/Table2[[#This Row],['# of Students]]</f>
        <v>0</v>
      </c>
      <c r="E65">
        <v>1</v>
      </c>
      <c r="F65" s="3">
        <f>Table2[[#This Row],['# UTD with 
Partial Medical Exemption]]/Table2[[#This Row],['# of Students]]</f>
        <v>1.2919896640826874E-3</v>
      </c>
      <c r="G65">
        <v>0</v>
      </c>
      <c r="H65" s="3">
        <f>Table2[[#This Row],['# with Full 
Religous Exemption]]/Table2[[#This Row],['# of Students]]</f>
        <v>0</v>
      </c>
      <c r="I65">
        <v>0</v>
      </c>
      <c r="J65" s="3">
        <f>Table2[[#This Row],['# UTD with 
Partial Religious Exemption]]/Table2[[#This Row],['# of Students]]</f>
        <v>0</v>
      </c>
    </row>
    <row r="66" spans="1:10" x14ac:dyDescent="0.35">
      <c r="A66" t="s">
        <v>65</v>
      </c>
      <c r="B66">
        <v>199</v>
      </c>
      <c r="C66">
        <v>0</v>
      </c>
      <c r="D66" s="3">
        <f>Table2[[#This Row],['# with Full 
Medical Exemption]]/Table2[[#This Row],['# of Students]]</f>
        <v>0</v>
      </c>
      <c r="E66">
        <v>0</v>
      </c>
      <c r="F66" s="3">
        <f>Table2[[#This Row],['# UTD with 
Partial Medical Exemption]]/Table2[[#This Row],['# of Students]]</f>
        <v>0</v>
      </c>
      <c r="G66">
        <v>0</v>
      </c>
      <c r="H66" s="3">
        <f>Table2[[#This Row],['# with Full 
Religous Exemption]]/Table2[[#This Row],['# of Students]]</f>
        <v>0</v>
      </c>
      <c r="I66">
        <v>0</v>
      </c>
      <c r="J66" s="3">
        <f>Table2[[#This Row],['# UTD with 
Partial Religious Exemption]]/Table2[[#This Row],['# of Students]]</f>
        <v>0</v>
      </c>
    </row>
    <row r="67" spans="1:10" x14ac:dyDescent="0.35">
      <c r="A67" t="s">
        <v>66</v>
      </c>
      <c r="B67">
        <v>134</v>
      </c>
      <c r="C67">
        <v>0</v>
      </c>
      <c r="D67" s="3">
        <f>Table2[[#This Row],['# with Full 
Medical Exemption]]/Table2[[#This Row],['# of Students]]</f>
        <v>0</v>
      </c>
      <c r="E67">
        <v>0</v>
      </c>
      <c r="F67" s="3">
        <f>Table2[[#This Row],['# UTD with 
Partial Medical Exemption]]/Table2[[#This Row],['# of Students]]</f>
        <v>0</v>
      </c>
      <c r="G67">
        <v>0</v>
      </c>
      <c r="H67" s="3">
        <f>Table2[[#This Row],['# with Full 
Religous Exemption]]/Table2[[#This Row],['# of Students]]</f>
        <v>0</v>
      </c>
      <c r="I67">
        <v>0</v>
      </c>
      <c r="J67" s="3">
        <f>Table2[[#This Row],['# UTD with 
Partial Religious Exemption]]/Table2[[#This Row],['# of Students]]</f>
        <v>0</v>
      </c>
    </row>
    <row r="68" spans="1:10" x14ac:dyDescent="0.35">
      <c r="A68" t="s">
        <v>67</v>
      </c>
      <c r="B68">
        <v>341</v>
      </c>
      <c r="C68">
        <v>1</v>
      </c>
      <c r="D68" s="3">
        <f>Table2[[#This Row],['# with Full 
Medical Exemption]]/Table2[[#This Row],['# of Students]]</f>
        <v>2.9325513196480938E-3</v>
      </c>
      <c r="E68">
        <v>0</v>
      </c>
      <c r="F68" s="3">
        <f>Table2[[#This Row],['# UTD with 
Partial Medical Exemption]]/Table2[[#This Row],['# of Students]]</f>
        <v>0</v>
      </c>
      <c r="G68">
        <v>4</v>
      </c>
      <c r="H68" s="3">
        <f>Table2[[#This Row],['# with Full 
Religous Exemption]]/Table2[[#This Row],['# of Students]]</f>
        <v>1.1730205278592375E-2</v>
      </c>
      <c r="I68">
        <v>0</v>
      </c>
      <c r="J68" s="3">
        <f>Table2[[#This Row],['# UTD with 
Partial Religious Exemption]]/Table2[[#This Row],['# of Students]]</f>
        <v>0</v>
      </c>
    </row>
    <row r="69" spans="1:10" x14ac:dyDescent="0.35">
      <c r="B69">
        <f>SUBTOTAL(109,Table2['# of Students])</f>
        <v>67702</v>
      </c>
      <c r="C69">
        <f>SUBTOTAL(109,Table2['# with Full 
Medical Exemption])</f>
        <v>31</v>
      </c>
      <c r="D69" s="3">
        <f>Table2[[#Totals],['# with Full 
Medical Exemption]]/Table2[[#Totals],['# of Students]]</f>
        <v>4.5788898407727983E-4</v>
      </c>
      <c r="E69">
        <f>SUBTOTAL(109,Table2['# UTD with 
Partial Medical Exemption])</f>
        <v>52</v>
      </c>
      <c r="F69" s="3">
        <f>Table2[[#Totals],['# UTD with 
Partial Medical Exemption]]/Table2[[#Totals],['# of Students]]</f>
        <v>7.6807184425866292E-4</v>
      </c>
      <c r="G69">
        <f>SUBTOTAL(109,Table2['# with Full 
Religous Exemption])</f>
        <v>527</v>
      </c>
      <c r="H69" s="3">
        <f>Table2[[#Totals],['# with Full 
Religous Exemption]]/Table2[[#Totals],['# of Students]]</f>
        <v>7.7841127293137571E-3</v>
      </c>
      <c r="I69">
        <f>SUBTOTAL(109,Table2['# UTD with 
Partial Religious Exemption])</f>
        <v>3</v>
      </c>
      <c r="J69" s="3">
        <f>Table2[[#Totals],['# UTD with 
Partial Religious Exemption]]/Table2[[#Totals],['# of Students]]</f>
        <v>4.4311837168769017E-5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8DCD8-6936-43DC-917F-E99B014DDA77}">
  <dimension ref="A1:J69"/>
  <sheetViews>
    <sheetView workbookViewId="0">
      <selection sqref="A1:XFD1"/>
    </sheetView>
  </sheetViews>
  <sheetFormatPr defaultRowHeight="14.5" x14ac:dyDescent="0.35"/>
  <cols>
    <col min="1" max="1" width="9.453125" customWidth="1"/>
    <col min="2" max="2" width="14.7265625" customWidth="1"/>
    <col min="3" max="3" width="22" customWidth="1"/>
    <col min="4" max="4" width="20.54296875" style="3" customWidth="1"/>
    <col min="5" max="5" width="26.453125" customWidth="1"/>
    <col min="6" max="6" width="24.54296875" style="3" customWidth="1"/>
    <col min="7" max="7" width="20.7265625" customWidth="1"/>
    <col min="8" max="8" width="19" style="3" customWidth="1"/>
    <col min="9" max="9" width="27.54296875" customWidth="1"/>
    <col min="10" max="10" width="26.81640625" style="3" customWidth="1"/>
  </cols>
  <sheetData>
    <row r="1" spans="1:10" ht="29" x14ac:dyDescent="0.35">
      <c r="A1" t="s">
        <v>0</v>
      </c>
      <c r="B1" t="s">
        <v>68</v>
      </c>
      <c r="C1" s="1" t="s">
        <v>69</v>
      </c>
      <c r="D1" s="2" t="s">
        <v>70</v>
      </c>
      <c r="E1" s="1" t="s">
        <v>71</v>
      </c>
      <c r="F1" s="2" t="s">
        <v>72</v>
      </c>
      <c r="G1" s="1" t="s">
        <v>73</v>
      </c>
      <c r="H1" s="2" t="s">
        <v>74</v>
      </c>
      <c r="I1" s="1" t="s">
        <v>75</v>
      </c>
      <c r="J1" s="2" t="s">
        <v>76</v>
      </c>
    </row>
    <row r="2" spans="1:10" x14ac:dyDescent="0.35">
      <c r="A2" t="s">
        <v>1</v>
      </c>
      <c r="B2">
        <v>823</v>
      </c>
      <c r="C2">
        <v>0</v>
      </c>
      <c r="D2" s="3">
        <f>Table3[[#This Row],['# with Full 
Medical Exemption]]/Table3[[#This Row],['# of Students]]</f>
        <v>0</v>
      </c>
      <c r="E2">
        <v>0</v>
      </c>
      <c r="F2" s="3">
        <f>Table3[[#This Row],['# UTD with 
Partial Medical Exemption]]/Table3[[#This Row],['# of Students]]</f>
        <v>0</v>
      </c>
      <c r="G2">
        <v>6</v>
      </c>
      <c r="H2" s="3">
        <f>Table3[[#This Row],['# with Full 
Religous Exemption]]/Table3[[#This Row],['# of Students]]</f>
        <v>7.2904009720534627E-3</v>
      </c>
      <c r="I2">
        <v>0</v>
      </c>
      <c r="J2" s="3">
        <f>Table3[[#This Row],['# UTD with 
Partial Religious Exemption]]/Table3[[#This Row],['# of Students]]</f>
        <v>0</v>
      </c>
    </row>
    <row r="3" spans="1:10" x14ac:dyDescent="0.35">
      <c r="A3" t="s">
        <v>2</v>
      </c>
      <c r="B3">
        <v>3236</v>
      </c>
      <c r="C3">
        <v>1</v>
      </c>
      <c r="D3" s="3">
        <f>Table3[[#This Row],['# with Full 
Medical Exemption]]/Table3[[#This Row],['# of Students]]</f>
        <v>3.0902348578491963E-4</v>
      </c>
      <c r="E3">
        <v>7</v>
      </c>
      <c r="F3" s="3">
        <f>Table3[[#This Row],['# UTD with 
Partial Medical Exemption]]/Table3[[#This Row],['# of Students]]</f>
        <v>2.1631644004944375E-3</v>
      </c>
      <c r="G3">
        <v>72</v>
      </c>
      <c r="H3" s="3">
        <f>Table3[[#This Row],['# with Full 
Religous Exemption]]/Table3[[#This Row],['# of Students]]</f>
        <v>2.2249690976514216E-2</v>
      </c>
      <c r="I3">
        <v>1</v>
      </c>
      <c r="J3" s="3">
        <f>Table3[[#This Row],['# UTD with 
Partial Religious Exemption]]/Table3[[#This Row],['# of Students]]</f>
        <v>3.0902348578491963E-4</v>
      </c>
    </row>
    <row r="4" spans="1:10" x14ac:dyDescent="0.35">
      <c r="A4" t="s">
        <v>3</v>
      </c>
      <c r="B4">
        <v>633</v>
      </c>
      <c r="C4">
        <v>0</v>
      </c>
      <c r="D4" s="3">
        <f>Table3[[#This Row],['# with Full 
Medical Exemption]]/Table3[[#This Row],['# of Students]]</f>
        <v>0</v>
      </c>
      <c r="E4">
        <v>0</v>
      </c>
      <c r="F4" s="3">
        <f>Table3[[#This Row],['# UTD with 
Partial Medical Exemption]]/Table3[[#This Row],['# of Students]]</f>
        <v>0</v>
      </c>
      <c r="G4">
        <v>5</v>
      </c>
      <c r="H4" s="3">
        <f>Table3[[#This Row],['# with Full 
Religous Exemption]]/Table3[[#This Row],['# of Students]]</f>
        <v>7.8988941548183249E-3</v>
      </c>
      <c r="I4">
        <v>0</v>
      </c>
      <c r="J4" s="3">
        <f>Table3[[#This Row],['# UTD with 
Partial Religious Exemption]]/Table3[[#This Row],['# of Students]]</f>
        <v>0</v>
      </c>
    </row>
    <row r="5" spans="1:10" x14ac:dyDescent="0.35">
      <c r="A5" t="s">
        <v>4</v>
      </c>
      <c r="B5">
        <v>274</v>
      </c>
      <c r="C5">
        <v>0</v>
      </c>
      <c r="D5" s="3">
        <f>Table3[[#This Row],['# with Full 
Medical Exemption]]/Table3[[#This Row],['# of Students]]</f>
        <v>0</v>
      </c>
      <c r="E5">
        <v>0</v>
      </c>
      <c r="F5" s="3">
        <f>Table3[[#This Row],['# UTD with 
Partial Medical Exemption]]/Table3[[#This Row],['# of Students]]</f>
        <v>0</v>
      </c>
      <c r="G5">
        <v>3</v>
      </c>
      <c r="H5" s="3">
        <f>Table3[[#This Row],['# with Full 
Religous Exemption]]/Table3[[#This Row],['# of Students]]</f>
        <v>1.0948905109489052E-2</v>
      </c>
      <c r="I5">
        <v>0</v>
      </c>
      <c r="J5" s="3">
        <f>Table3[[#This Row],['# UTD with 
Partial Religious Exemption]]/Table3[[#This Row],['# of Students]]</f>
        <v>0</v>
      </c>
    </row>
    <row r="6" spans="1:10" x14ac:dyDescent="0.35">
      <c r="A6" t="s">
        <v>5</v>
      </c>
      <c r="B6">
        <v>810</v>
      </c>
      <c r="C6">
        <v>2</v>
      </c>
      <c r="D6" s="3">
        <f>Table3[[#This Row],['# with Full 
Medical Exemption]]/Table3[[#This Row],['# of Students]]</f>
        <v>2.4691358024691358E-3</v>
      </c>
      <c r="E6">
        <v>0</v>
      </c>
      <c r="F6" s="3">
        <f>Table3[[#This Row],['# UTD with 
Partial Medical Exemption]]/Table3[[#This Row],['# of Students]]</f>
        <v>0</v>
      </c>
      <c r="G6">
        <v>5</v>
      </c>
      <c r="H6" s="3">
        <f>Table3[[#This Row],['# with Full 
Religous Exemption]]/Table3[[#This Row],['# of Students]]</f>
        <v>6.1728395061728392E-3</v>
      </c>
      <c r="I6">
        <v>0</v>
      </c>
      <c r="J6" s="3">
        <f>Table3[[#This Row],['# UTD with 
Partial Religious Exemption]]/Table3[[#This Row],['# of Students]]</f>
        <v>0</v>
      </c>
    </row>
    <row r="7" spans="1:10" x14ac:dyDescent="0.35">
      <c r="A7" t="s">
        <v>6</v>
      </c>
      <c r="B7">
        <v>146</v>
      </c>
      <c r="C7">
        <v>0</v>
      </c>
      <c r="D7" s="3">
        <f>Table3[[#This Row],['# with Full 
Medical Exemption]]/Table3[[#This Row],['# of Students]]</f>
        <v>0</v>
      </c>
      <c r="E7">
        <v>0</v>
      </c>
      <c r="F7" s="3">
        <f>Table3[[#This Row],['# UTD with 
Partial Medical Exemption]]/Table3[[#This Row],['# of Students]]</f>
        <v>0</v>
      </c>
      <c r="G7">
        <v>0</v>
      </c>
      <c r="H7" s="3">
        <f>Table3[[#This Row],['# with Full 
Religous Exemption]]/Table3[[#This Row],['# of Students]]</f>
        <v>0</v>
      </c>
      <c r="I7">
        <v>0</v>
      </c>
      <c r="J7" s="3">
        <f>Table3[[#This Row],['# UTD with 
Partial Religious Exemption]]/Table3[[#This Row],['# of Students]]</f>
        <v>0</v>
      </c>
    </row>
    <row r="8" spans="1:10" x14ac:dyDescent="0.35">
      <c r="A8" t="s">
        <v>7</v>
      </c>
      <c r="B8">
        <v>324</v>
      </c>
      <c r="C8">
        <v>0</v>
      </c>
      <c r="D8" s="3">
        <f>Table3[[#This Row],['# with Full 
Medical Exemption]]/Table3[[#This Row],['# of Students]]</f>
        <v>0</v>
      </c>
      <c r="E8">
        <v>0</v>
      </c>
      <c r="F8" s="3">
        <f>Table3[[#This Row],['# UTD with 
Partial Medical Exemption]]/Table3[[#This Row],['# of Students]]</f>
        <v>0</v>
      </c>
      <c r="G8">
        <v>0</v>
      </c>
      <c r="H8" s="3">
        <f>Table3[[#This Row],['# with Full 
Religous Exemption]]/Table3[[#This Row],['# of Students]]</f>
        <v>0</v>
      </c>
      <c r="I8">
        <v>0</v>
      </c>
      <c r="J8" s="3">
        <f>Table3[[#This Row],['# UTD with 
Partial Religious Exemption]]/Table3[[#This Row],['# of Students]]</f>
        <v>0</v>
      </c>
    </row>
    <row r="9" spans="1:10" x14ac:dyDescent="0.35">
      <c r="A9" t="s">
        <v>8</v>
      </c>
      <c r="B9">
        <v>1459</v>
      </c>
      <c r="C9">
        <v>1</v>
      </c>
      <c r="D9" s="3">
        <f>Table3[[#This Row],['# with Full 
Medical Exemption]]/Table3[[#This Row],['# of Students]]</f>
        <v>6.8540095956134343E-4</v>
      </c>
      <c r="E9">
        <v>0</v>
      </c>
      <c r="F9" s="3">
        <f>Table3[[#This Row],['# UTD with 
Partial Medical Exemption]]/Table3[[#This Row],['# of Students]]</f>
        <v>0</v>
      </c>
      <c r="G9">
        <v>6</v>
      </c>
      <c r="H9" s="3">
        <f>Table3[[#This Row],['# with Full 
Religous Exemption]]/Table3[[#This Row],['# of Students]]</f>
        <v>4.1124057573680602E-3</v>
      </c>
      <c r="I9">
        <v>0</v>
      </c>
      <c r="J9" s="3">
        <f>Table3[[#This Row],['# UTD with 
Partial Religious Exemption]]/Table3[[#This Row],['# of Students]]</f>
        <v>0</v>
      </c>
    </row>
    <row r="10" spans="1:10" x14ac:dyDescent="0.35">
      <c r="A10" t="s">
        <v>9</v>
      </c>
      <c r="B10">
        <v>352</v>
      </c>
      <c r="C10">
        <v>0</v>
      </c>
      <c r="D10" s="3">
        <f>Table3[[#This Row],['# with Full 
Medical Exemption]]/Table3[[#This Row],['# of Students]]</f>
        <v>0</v>
      </c>
      <c r="E10">
        <v>0</v>
      </c>
      <c r="F10" s="3">
        <f>Table3[[#This Row],['# UTD with 
Partial Medical Exemption]]/Table3[[#This Row],['# of Students]]</f>
        <v>0</v>
      </c>
      <c r="G10">
        <v>0</v>
      </c>
      <c r="H10" s="3">
        <f>Table3[[#This Row],['# with Full 
Religous Exemption]]/Table3[[#This Row],['# of Students]]</f>
        <v>0</v>
      </c>
      <c r="I10">
        <v>0</v>
      </c>
      <c r="J10" s="3">
        <f>Table3[[#This Row],['# UTD with 
Partial Religious Exemption]]/Table3[[#This Row],['# of Students]]</f>
        <v>0</v>
      </c>
    </row>
    <row r="11" spans="1:10" x14ac:dyDescent="0.35">
      <c r="A11" t="s">
        <v>10</v>
      </c>
      <c r="B11">
        <v>318</v>
      </c>
      <c r="C11">
        <v>0</v>
      </c>
      <c r="D11" s="3">
        <f>Table3[[#This Row],['# with Full 
Medical Exemption]]/Table3[[#This Row],['# of Students]]</f>
        <v>0</v>
      </c>
      <c r="E11">
        <v>0</v>
      </c>
      <c r="F11" s="3">
        <f>Table3[[#This Row],['# UTD with 
Partial Medical Exemption]]/Table3[[#This Row],['# of Students]]</f>
        <v>0</v>
      </c>
      <c r="G11">
        <v>4</v>
      </c>
      <c r="H11" s="3">
        <f>Table3[[#This Row],['# with Full 
Religous Exemption]]/Table3[[#This Row],['# of Students]]</f>
        <v>1.2578616352201259E-2</v>
      </c>
      <c r="I11">
        <v>0</v>
      </c>
      <c r="J11" s="3">
        <f>Table3[[#This Row],['# UTD with 
Partial Religious Exemption]]/Table3[[#This Row],['# of Students]]</f>
        <v>0</v>
      </c>
    </row>
    <row r="12" spans="1:10" x14ac:dyDescent="0.35">
      <c r="A12" t="s">
        <v>11</v>
      </c>
      <c r="B12">
        <v>698</v>
      </c>
      <c r="C12">
        <v>0</v>
      </c>
      <c r="D12" s="3">
        <f>Table3[[#This Row],['# with Full 
Medical Exemption]]/Table3[[#This Row],['# of Students]]</f>
        <v>0</v>
      </c>
      <c r="E12">
        <v>0</v>
      </c>
      <c r="F12" s="3">
        <f>Table3[[#This Row],['# UTD with 
Partial Medical Exemption]]/Table3[[#This Row],['# of Students]]</f>
        <v>0</v>
      </c>
      <c r="G12">
        <v>5</v>
      </c>
      <c r="H12" s="3">
        <f>Table3[[#This Row],['# with Full 
Religous Exemption]]/Table3[[#This Row],['# of Students]]</f>
        <v>7.1633237822349575E-3</v>
      </c>
      <c r="I12">
        <v>0</v>
      </c>
      <c r="J12" s="3">
        <f>Table3[[#This Row],['# UTD with 
Partial Religious Exemption]]/Table3[[#This Row],['# of Students]]</f>
        <v>0</v>
      </c>
    </row>
    <row r="13" spans="1:10" x14ac:dyDescent="0.35">
      <c r="A13" t="s">
        <v>12</v>
      </c>
      <c r="B13">
        <v>136</v>
      </c>
      <c r="C13">
        <v>0</v>
      </c>
      <c r="D13" s="3">
        <f>Table3[[#This Row],['# with Full 
Medical Exemption]]/Table3[[#This Row],['# of Students]]</f>
        <v>0</v>
      </c>
      <c r="E13">
        <v>1</v>
      </c>
      <c r="F13" s="3">
        <f>Table3[[#This Row],['# UTD with 
Partial Medical Exemption]]/Table3[[#This Row],['# of Students]]</f>
        <v>7.3529411764705881E-3</v>
      </c>
      <c r="G13">
        <v>0</v>
      </c>
      <c r="H13" s="3">
        <f>Table3[[#This Row],['# with Full 
Religous Exemption]]/Table3[[#This Row],['# of Students]]</f>
        <v>0</v>
      </c>
      <c r="I13">
        <v>0</v>
      </c>
      <c r="J13" s="3">
        <f>Table3[[#This Row],['# UTD with 
Partial Religious Exemption]]/Table3[[#This Row],['# of Students]]</f>
        <v>0</v>
      </c>
    </row>
    <row r="14" spans="1:10" x14ac:dyDescent="0.35">
      <c r="A14" t="s">
        <v>13</v>
      </c>
      <c r="B14">
        <v>379</v>
      </c>
      <c r="C14">
        <v>1</v>
      </c>
      <c r="D14" s="3">
        <f>Table3[[#This Row],['# with Full 
Medical Exemption]]/Table3[[#This Row],['# of Students]]</f>
        <v>2.6385224274406332E-3</v>
      </c>
      <c r="E14">
        <v>0</v>
      </c>
      <c r="F14" s="3">
        <f>Table3[[#This Row],['# UTD with 
Partial Medical Exemption]]/Table3[[#This Row],['# of Students]]</f>
        <v>0</v>
      </c>
      <c r="G14">
        <v>1</v>
      </c>
      <c r="H14" s="3">
        <f>Table3[[#This Row],['# with Full 
Religous Exemption]]/Table3[[#This Row],['# of Students]]</f>
        <v>2.6385224274406332E-3</v>
      </c>
      <c r="I14">
        <v>0</v>
      </c>
      <c r="J14" s="3">
        <f>Table3[[#This Row],['# UTD with 
Partial Religious Exemption]]/Table3[[#This Row],['# of Students]]</f>
        <v>0</v>
      </c>
    </row>
    <row r="15" spans="1:10" x14ac:dyDescent="0.35">
      <c r="A15" t="s">
        <v>14</v>
      </c>
      <c r="B15">
        <v>195</v>
      </c>
      <c r="C15">
        <v>0</v>
      </c>
      <c r="D15" s="3">
        <f>Table3[[#This Row],['# with Full 
Medical Exemption]]/Table3[[#This Row],['# of Students]]</f>
        <v>0</v>
      </c>
      <c r="E15">
        <v>0</v>
      </c>
      <c r="F15" s="3">
        <f>Table3[[#This Row],['# UTD with 
Partial Medical Exemption]]/Table3[[#This Row],['# of Students]]</f>
        <v>0</v>
      </c>
      <c r="G15">
        <v>1</v>
      </c>
      <c r="H15" s="3">
        <f>Table3[[#This Row],['# with Full 
Religous Exemption]]/Table3[[#This Row],['# of Students]]</f>
        <v>5.1282051282051282E-3</v>
      </c>
      <c r="I15">
        <v>0</v>
      </c>
      <c r="J15" s="3">
        <f>Table3[[#This Row],['# UTD with 
Partial Religious Exemption]]/Table3[[#This Row],['# of Students]]</f>
        <v>0</v>
      </c>
    </row>
    <row r="16" spans="1:10" x14ac:dyDescent="0.35">
      <c r="A16" t="s">
        <v>15</v>
      </c>
      <c r="B16">
        <v>208</v>
      </c>
      <c r="C16">
        <v>0</v>
      </c>
      <c r="D16" s="3">
        <f>Table3[[#This Row],['# with Full 
Medical Exemption]]/Table3[[#This Row],['# of Students]]</f>
        <v>0</v>
      </c>
      <c r="E16">
        <v>0</v>
      </c>
      <c r="F16" s="3">
        <f>Table3[[#This Row],['# UTD with 
Partial Medical Exemption]]/Table3[[#This Row],['# of Students]]</f>
        <v>0</v>
      </c>
      <c r="G16">
        <v>3</v>
      </c>
      <c r="H16" s="3">
        <f>Table3[[#This Row],['# with Full 
Religous Exemption]]/Table3[[#This Row],['# of Students]]</f>
        <v>1.4423076923076924E-2</v>
      </c>
      <c r="I16">
        <v>0</v>
      </c>
      <c r="J16" s="3">
        <f>Table3[[#This Row],['# UTD with 
Partial Religious Exemption]]/Table3[[#This Row],['# of Students]]</f>
        <v>0</v>
      </c>
    </row>
    <row r="17" spans="1:10" x14ac:dyDescent="0.35">
      <c r="A17" t="s">
        <v>16</v>
      </c>
      <c r="B17">
        <v>969</v>
      </c>
      <c r="C17">
        <v>0</v>
      </c>
      <c r="D17" s="3">
        <f>Table3[[#This Row],['# with Full 
Medical Exemption]]/Table3[[#This Row],['# of Students]]</f>
        <v>0</v>
      </c>
      <c r="E17">
        <v>3</v>
      </c>
      <c r="F17" s="3">
        <f>Table3[[#This Row],['# UTD with 
Partial Medical Exemption]]/Table3[[#This Row],['# of Students]]</f>
        <v>3.0959752321981426E-3</v>
      </c>
      <c r="G17">
        <v>10</v>
      </c>
      <c r="H17" s="3">
        <f>Table3[[#This Row],['# with Full 
Religous Exemption]]/Table3[[#This Row],['# of Students]]</f>
        <v>1.0319917440660475E-2</v>
      </c>
      <c r="I17">
        <v>0</v>
      </c>
      <c r="J17" s="3">
        <f>Table3[[#This Row],['# UTD with 
Partial Religious Exemption]]/Table3[[#This Row],['# of Students]]</f>
        <v>0</v>
      </c>
    </row>
    <row r="18" spans="1:10" x14ac:dyDescent="0.35">
      <c r="A18" t="s">
        <v>17</v>
      </c>
      <c r="B18">
        <v>659</v>
      </c>
      <c r="C18">
        <v>2</v>
      </c>
      <c r="D18" s="3">
        <f>Table3[[#This Row],['# with Full 
Medical Exemption]]/Table3[[#This Row],['# of Students]]</f>
        <v>3.0349013657056147E-3</v>
      </c>
      <c r="E18">
        <v>0</v>
      </c>
      <c r="F18" s="3">
        <f>Table3[[#This Row],['# UTD with 
Partial Medical Exemption]]/Table3[[#This Row],['# of Students]]</f>
        <v>0</v>
      </c>
      <c r="G18">
        <v>3</v>
      </c>
      <c r="H18" s="3">
        <f>Table3[[#This Row],['# with Full 
Religous Exemption]]/Table3[[#This Row],['# of Students]]</f>
        <v>4.552352048558422E-3</v>
      </c>
      <c r="I18">
        <v>0</v>
      </c>
      <c r="J18" s="3">
        <f>Table3[[#This Row],['# UTD with 
Partial Religious Exemption]]/Table3[[#This Row],['# of Students]]</f>
        <v>0</v>
      </c>
    </row>
    <row r="19" spans="1:10" x14ac:dyDescent="0.35">
      <c r="A19" t="s">
        <v>18</v>
      </c>
      <c r="B19">
        <v>126</v>
      </c>
      <c r="C19">
        <v>0</v>
      </c>
      <c r="D19" s="3">
        <f>Table3[[#This Row],['# with Full 
Medical Exemption]]/Table3[[#This Row],['# of Students]]</f>
        <v>0</v>
      </c>
      <c r="E19">
        <v>0</v>
      </c>
      <c r="F19" s="3">
        <f>Table3[[#This Row],['# UTD with 
Partial Medical Exemption]]/Table3[[#This Row],['# of Students]]</f>
        <v>0</v>
      </c>
      <c r="G19">
        <v>0</v>
      </c>
      <c r="H19" s="3">
        <f>Table3[[#This Row],['# with Full 
Religous Exemption]]/Table3[[#This Row],['# of Students]]</f>
        <v>0</v>
      </c>
      <c r="I19">
        <v>0</v>
      </c>
      <c r="J19" s="3">
        <f>Table3[[#This Row],['# UTD with 
Partial Religious Exemption]]/Table3[[#This Row],['# of Students]]</f>
        <v>0</v>
      </c>
    </row>
    <row r="20" spans="1:10" x14ac:dyDescent="0.35">
      <c r="A20" t="s">
        <v>19</v>
      </c>
      <c r="B20">
        <v>81</v>
      </c>
      <c r="C20">
        <v>0</v>
      </c>
      <c r="D20" s="3">
        <f>Table3[[#This Row],['# with Full 
Medical Exemption]]/Table3[[#This Row],['# of Students]]</f>
        <v>0</v>
      </c>
      <c r="E20">
        <v>0</v>
      </c>
      <c r="F20" s="3">
        <f>Table3[[#This Row],['# UTD with 
Partial Medical Exemption]]/Table3[[#This Row],['# of Students]]</f>
        <v>0</v>
      </c>
      <c r="G20">
        <v>0</v>
      </c>
      <c r="H20" s="3">
        <f>Table3[[#This Row],['# with Full 
Religous Exemption]]/Table3[[#This Row],['# of Students]]</f>
        <v>0</v>
      </c>
      <c r="I20">
        <v>0</v>
      </c>
      <c r="J20" s="3">
        <f>Table3[[#This Row],['# UTD with 
Partial Religious Exemption]]/Table3[[#This Row],['# of Students]]</f>
        <v>0</v>
      </c>
    </row>
    <row r="21" spans="1:10" x14ac:dyDescent="0.35">
      <c r="A21" t="s">
        <v>20</v>
      </c>
      <c r="B21">
        <v>445</v>
      </c>
      <c r="C21">
        <v>0</v>
      </c>
      <c r="D21" s="3">
        <f>Table3[[#This Row],['# with Full 
Medical Exemption]]/Table3[[#This Row],['# of Students]]</f>
        <v>0</v>
      </c>
      <c r="E21">
        <v>1</v>
      </c>
      <c r="F21" s="3">
        <f>Table3[[#This Row],['# UTD with 
Partial Medical Exemption]]/Table3[[#This Row],['# of Students]]</f>
        <v>2.2471910112359553E-3</v>
      </c>
      <c r="G21">
        <v>3</v>
      </c>
      <c r="H21" s="3">
        <f>Table3[[#This Row],['# with Full 
Religous Exemption]]/Table3[[#This Row],['# of Students]]</f>
        <v>6.7415730337078653E-3</v>
      </c>
      <c r="I21">
        <v>0</v>
      </c>
      <c r="J21" s="3">
        <f>Table3[[#This Row],['# UTD with 
Partial Religious Exemption]]/Table3[[#This Row],['# of Students]]</f>
        <v>0</v>
      </c>
    </row>
    <row r="22" spans="1:10" x14ac:dyDescent="0.35">
      <c r="A22" t="s">
        <v>21</v>
      </c>
      <c r="B22">
        <v>190</v>
      </c>
      <c r="C22">
        <v>0</v>
      </c>
      <c r="D22" s="3">
        <f>Table3[[#This Row],['# with Full 
Medical Exemption]]/Table3[[#This Row],['# of Students]]</f>
        <v>0</v>
      </c>
      <c r="E22">
        <v>0</v>
      </c>
      <c r="F22" s="3">
        <f>Table3[[#This Row],['# UTD with 
Partial Medical Exemption]]/Table3[[#This Row],['# of Students]]</f>
        <v>0</v>
      </c>
      <c r="G22">
        <v>0</v>
      </c>
      <c r="H22" s="3">
        <f>Table3[[#This Row],['# with Full 
Religous Exemption]]/Table3[[#This Row],['# of Students]]</f>
        <v>0</v>
      </c>
      <c r="I22">
        <v>0</v>
      </c>
      <c r="J22" s="3">
        <f>Table3[[#This Row],['# UTD with 
Partial Religious Exemption]]/Table3[[#This Row],['# of Students]]</f>
        <v>0</v>
      </c>
    </row>
    <row r="23" spans="1:10" x14ac:dyDescent="0.35">
      <c r="A23" t="s">
        <v>22</v>
      </c>
      <c r="B23">
        <v>1005</v>
      </c>
      <c r="C23">
        <v>0</v>
      </c>
      <c r="D23" s="3">
        <f>Table3[[#This Row],['# with Full 
Medical Exemption]]/Table3[[#This Row],['# of Students]]</f>
        <v>0</v>
      </c>
      <c r="E23">
        <v>0</v>
      </c>
      <c r="F23" s="3">
        <f>Table3[[#This Row],['# UTD with 
Partial Medical Exemption]]/Table3[[#This Row],['# of Students]]</f>
        <v>0</v>
      </c>
      <c r="G23">
        <v>14</v>
      </c>
      <c r="H23" s="3">
        <f>Table3[[#This Row],['# with Full 
Religous Exemption]]/Table3[[#This Row],['# of Students]]</f>
        <v>1.3930348258706468E-2</v>
      </c>
      <c r="I23">
        <v>0</v>
      </c>
      <c r="J23" s="3">
        <f>Table3[[#This Row],['# UTD with 
Partial Religious Exemption]]/Table3[[#This Row],['# of Students]]</f>
        <v>0</v>
      </c>
    </row>
    <row r="24" spans="1:10" x14ac:dyDescent="0.35">
      <c r="A24" t="s">
        <v>23</v>
      </c>
      <c r="B24">
        <v>524</v>
      </c>
      <c r="C24">
        <v>0</v>
      </c>
      <c r="D24" s="3">
        <f>Table3[[#This Row],['# with Full 
Medical Exemption]]/Table3[[#This Row],['# of Students]]</f>
        <v>0</v>
      </c>
      <c r="E24">
        <v>0</v>
      </c>
      <c r="F24" s="3">
        <f>Table3[[#This Row],['# UTD with 
Partial Medical Exemption]]/Table3[[#This Row],['# of Students]]</f>
        <v>0</v>
      </c>
      <c r="G24">
        <v>3</v>
      </c>
      <c r="H24" s="3">
        <f>Table3[[#This Row],['# with Full 
Religous Exemption]]/Table3[[#This Row],['# of Students]]</f>
        <v>5.7251908396946565E-3</v>
      </c>
      <c r="I24">
        <v>0</v>
      </c>
      <c r="J24" s="3">
        <f>Table3[[#This Row],['# UTD with 
Partial Religious Exemption]]/Table3[[#This Row],['# of Students]]</f>
        <v>0</v>
      </c>
    </row>
    <row r="25" spans="1:10" x14ac:dyDescent="0.35">
      <c r="A25" t="s">
        <v>24</v>
      </c>
      <c r="B25">
        <v>552</v>
      </c>
      <c r="C25">
        <v>0</v>
      </c>
      <c r="D25" s="3">
        <f>Table3[[#This Row],['# with Full 
Medical Exemption]]/Table3[[#This Row],['# of Students]]</f>
        <v>0</v>
      </c>
      <c r="E25">
        <v>1</v>
      </c>
      <c r="F25" s="3">
        <f>Table3[[#This Row],['# UTD with 
Partial Medical Exemption]]/Table3[[#This Row],['# of Students]]</f>
        <v>1.8115942028985507E-3</v>
      </c>
      <c r="G25">
        <v>1</v>
      </c>
      <c r="H25" s="3">
        <f>Table3[[#This Row],['# with Full 
Religous Exemption]]/Table3[[#This Row],['# of Students]]</f>
        <v>1.8115942028985507E-3</v>
      </c>
      <c r="I25">
        <v>0</v>
      </c>
      <c r="J25" s="3">
        <f>Table3[[#This Row],['# UTD with 
Partial Religious Exemption]]/Table3[[#This Row],['# of Students]]</f>
        <v>0</v>
      </c>
    </row>
    <row r="26" spans="1:10" x14ac:dyDescent="0.35">
      <c r="A26" t="s">
        <v>25</v>
      </c>
      <c r="B26">
        <v>1018</v>
      </c>
      <c r="C26">
        <v>0</v>
      </c>
      <c r="D26" s="3">
        <f>Table3[[#This Row],['# with Full 
Medical Exemption]]/Table3[[#This Row],['# of Students]]</f>
        <v>0</v>
      </c>
      <c r="E26">
        <v>0</v>
      </c>
      <c r="F26" s="3">
        <f>Table3[[#This Row],['# UTD with 
Partial Medical Exemption]]/Table3[[#This Row],['# of Students]]</f>
        <v>0</v>
      </c>
      <c r="G26">
        <v>2</v>
      </c>
      <c r="H26" s="3">
        <f>Table3[[#This Row],['# with Full 
Religous Exemption]]/Table3[[#This Row],['# of Students]]</f>
        <v>1.9646365422396855E-3</v>
      </c>
      <c r="I26">
        <v>0</v>
      </c>
      <c r="J26" s="3">
        <f>Table3[[#This Row],['# UTD with 
Partial Religious Exemption]]/Table3[[#This Row],['# of Students]]</f>
        <v>0</v>
      </c>
    </row>
    <row r="27" spans="1:10" x14ac:dyDescent="0.35">
      <c r="A27" t="s">
        <v>26</v>
      </c>
      <c r="B27">
        <v>1277</v>
      </c>
      <c r="C27">
        <v>1</v>
      </c>
      <c r="D27" s="3">
        <f>Table3[[#This Row],['# with Full 
Medical Exemption]]/Table3[[#This Row],['# of Students]]</f>
        <v>7.8308535630383712E-4</v>
      </c>
      <c r="E27">
        <v>1</v>
      </c>
      <c r="F27" s="3">
        <f>Table3[[#This Row],['# UTD with 
Partial Medical Exemption]]/Table3[[#This Row],['# of Students]]</f>
        <v>7.8308535630383712E-4</v>
      </c>
      <c r="G27">
        <v>11</v>
      </c>
      <c r="H27" s="3">
        <f>Table3[[#This Row],['# with Full 
Religous Exemption]]/Table3[[#This Row],['# of Students]]</f>
        <v>8.6139389193422081E-3</v>
      </c>
      <c r="I27">
        <v>0</v>
      </c>
      <c r="J27" s="3">
        <f>Table3[[#This Row],['# UTD with 
Partial Religious Exemption]]/Table3[[#This Row],['# of Students]]</f>
        <v>0</v>
      </c>
    </row>
    <row r="28" spans="1:10" x14ac:dyDescent="0.35">
      <c r="A28" t="s">
        <v>27</v>
      </c>
      <c r="B28">
        <v>413</v>
      </c>
      <c r="C28">
        <v>1</v>
      </c>
      <c r="D28" s="3">
        <f>Table3[[#This Row],['# with Full 
Medical Exemption]]/Table3[[#This Row],['# of Students]]</f>
        <v>2.4213075060532689E-3</v>
      </c>
      <c r="E28">
        <v>0</v>
      </c>
      <c r="F28" s="3">
        <f>Table3[[#This Row],['# UTD with 
Partial Medical Exemption]]/Table3[[#This Row],['# of Students]]</f>
        <v>0</v>
      </c>
      <c r="G28">
        <v>1</v>
      </c>
      <c r="H28" s="3">
        <f>Table3[[#This Row],['# with Full 
Religous Exemption]]/Table3[[#This Row],['# of Students]]</f>
        <v>2.4213075060532689E-3</v>
      </c>
      <c r="I28">
        <v>0</v>
      </c>
      <c r="J28" s="3">
        <f>Table3[[#This Row],['# UTD with 
Partial Religious Exemption]]/Table3[[#This Row],['# of Students]]</f>
        <v>0</v>
      </c>
    </row>
    <row r="29" spans="1:10" x14ac:dyDescent="0.35">
      <c r="A29" t="s">
        <v>28</v>
      </c>
      <c r="B29">
        <v>1180</v>
      </c>
      <c r="C29">
        <v>2</v>
      </c>
      <c r="D29" s="3">
        <f>Table3[[#This Row],['# with Full 
Medical Exemption]]/Table3[[#This Row],['# of Students]]</f>
        <v>1.6949152542372881E-3</v>
      </c>
      <c r="E29">
        <v>0</v>
      </c>
      <c r="F29" s="3">
        <f>Table3[[#This Row],['# UTD with 
Partial Medical Exemption]]/Table3[[#This Row],['# of Students]]</f>
        <v>0</v>
      </c>
      <c r="G29">
        <v>11</v>
      </c>
      <c r="H29" s="3">
        <f>Table3[[#This Row],['# with Full 
Religous Exemption]]/Table3[[#This Row],['# of Students]]</f>
        <v>9.3220338983050852E-3</v>
      </c>
      <c r="I29">
        <v>0</v>
      </c>
      <c r="J29" s="3">
        <f>Table3[[#This Row],['# UTD with 
Partial Religious Exemption]]/Table3[[#This Row],['# of Students]]</f>
        <v>0</v>
      </c>
    </row>
    <row r="30" spans="1:10" x14ac:dyDescent="0.35">
      <c r="A30" t="s">
        <v>29</v>
      </c>
      <c r="B30">
        <v>188</v>
      </c>
      <c r="C30">
        <v>1</v>
      </c>
      <c r="D30" s="3">
        <f>Table3[[#This Row],['# with Full 
Medical Exemption]]/Table3[[#This Row],['# of Students]]</f>
        <v>5.3191489361702126E-3</v>
      </c>
      <c r="E30">
        <v>0</v>
      </c>
      <c r="F30" s="3">
        <f>Table3[[#This Row],['# UTD with 
Partial Medical Exemption]]/Table3[[#This Row],['# of Students]]</f>
        <v>0</v>
      </c>
      <c r="G30">
        <v>0</v>
      </c>
      <c r="H30" s="3">
        <f>Table3[[#This Row],['# with Full 
Religous Exemption]]/Table3[[#This Row],['# of Students]]</f>
        <v>0</v>
      </c>
      <c r="I30">
        <v>0</v>
      </c>
      <c r="J30" s="3">
        <f>Table3[[#This Row],['# UTD with 
Partial Religious Exemption]]/Table3[[#This Row],['# of Students]]</f>
        <v>0</v>
      </c>
    </row>
    <row r="31" spans="1:10" x14ac:dyDescent="0.35">
      <c r="A31" t="s">
        <v>30</v>
      </c>
      <c r="B31">
        <v>454</v>
      </c>
      <c r="C31">
        <v>0</v>
      </c>
      <c r="D31" s="3">
        <f>Table3[[#This Row],['# with Full 
Medical Exemption]]/Table3[[#This Row],['# of Students]]</f>
        <v>0</v>
      </c>
      <c r="E31">
        <v>0</v>
      </c>
      <c r="F31" s="3">
        <f>Table3[[#This Row],['# UTD with 
Partial Medical Exemption]]/Table3[[#This Row],['# of Students]]</f>
        <v>0</v>
      </c>
      <c r="G31">
        <v>1</v>
      </c>
      <c r="H31" s="3">
        <f>Table3[[#This Row],['# with Full 
Religous Exemption]]/Table3[[#This Row],['# of Students]]</f>
        <v>2.2026431718061676E-3</v>
      </c>
      <c r="I31">
        <v>0</v>
      </c>
      <c r="J31" s="3">
        <f>Table3[[#This Row],['# UTD with 
Partial Religious Exemption]]/Table3[[#This Row],['# of Students]]</f>
        <v>0</v>
      </c>
    </row>
    <row r="32" spans="1:10" x14ac:dyDescent="0.35">
      <c r="A32" t="s">
        <v>31</v>
      </c>
      <c r="B32">
        <v>339</v>
      </c>
      <c r="C32">
        <v>1</v>
      </c>
      <c r="D32" s="3">
        <f>Table3[[#This Row],['# with Full 
Medical Exemption]]/Table3[[#This Row],['# of Students]]</f>
        <v>2.9498525073746312E-3</v>
      </c>
      <c r="E32">
        <v>1</v>
      </c>
      <c r="F32" s="3">
        <f>Table3[[#This Row],['# UTD with 
Partial Medical Exemption]]/Table3[[#This Row],['# of Students]]</f>
        <v>2.9498525073746312E-3</v>
      </c>
      <c r="G32">
        <v>2</v>
      </c>
      <c r="H32" s="3">
        <f>Table3[[#This Row],['# with Full 
Religous Exemption]]/Table3[[#This Row],['# of Students]]</f>
        <v>5.8997050147492625E-3</v>
      </c>
      <c r="I32">
        <v>0</v>
      </c>
      <c r="J32" s="3">
        <f>Table3[[#This Row],['# UTD with 
Partial Religious Exemption]]/Table3[[#This Row],['# of Students]]</f>
        <v>0</v>
      </c>
    </row>
    <row r="33" spans="1:10" x14ac:dyDescent="0.35">
      <c r="A33" t="s">
        <v>32</v>
      </c>
      <c r="B33">
        <v>73</v>
      </c>
      <c r="C33">
        <v>0</v>
      </c>
      <c r="D33" s="3">
        <f>Table3[[#This Row],['# with Full 
Medical Exemption]]/Table3[[#This Row],['# of Students]]</f>
        <v>0</v>
      </c>
      <c r="E33">
        <v>0</v>
      </c>
      <c r="F33" s="3">
        <f>Table3[[#This Row],['# UTD with 
Partial Medical Exemption]]/Table3[[#This Row],['# of Students]]</f>
        <v>0</v>
      </c>
      <c r="G33">
        <v>0</v>
      </c>
      <c r="H33" s="3">
        <f>Table3[[#This Row],['# with Full 
Religous Exemption]]/Table3[[#This Row],['# of Students]]</f>
        <v>0</v>
      </c>
      <c r="I33">
        <v>0</v>
      </c>
      <c r="J33" s="3">
        <f>Table3[[#This Row],['# UTD with 
Partial Religious Exemption]]/Table3[[#This Row],['# of Students]]</f>
        <v>0</v>
      </c>
    </row>
    <row r="34" spans="1:10" x14ac:dyDescent="0.35">
      <c r="A34" t="s">
        <v>33</v>
      </c>
      <c r="B34">
        <v>193</v>
      </c>
      <c r="C34">
        <v>0</v>
      </c>
      <c r="D34" s="3">
        <f>Table3[[#This Row],['# with Full 
Medical Exemption]]/Table3[[#This Row],['# of Students]]</f>
        <v>0</v>
      </c>
      <c r="E34">
        <v>0</v>
      </c>
      <c r="F34" s="3">
        <f>Table3[[#This Row],['# UTD with 
Partial Medical Exemption]]/Table3[[#This Row],['# of Students]]</f>
        <v>0</v>
      </c>
      <c r="G34">
        <v>0</v>
      </c>
      <c r="H34" s="3">
        <f>Table3[[#This Row],['# with Full 
Religous Exemption]]/Table3[[#This Row],['# of Students]]</f>
        <v>0</v>
      </c>
      <c r="I34">
        <v>0</v>
      </c>
      <c r="J34" s="3">
        <f>Table3[[#This Row],['# UTD with 
Partial Religious Exemption]]/Table3[[#This Row],['# of Students]]</f>
        <v>0</v>
      </c>
    </row>
    <row r="35" spans="1:10" x14ac:dyDescent="0.35">
      <c r="A35" t="s">
        <v>34</v>
      </c>
      <c r="B35">
        <v>225</v>
      </c>
      <c r="C35">
        <v>1</v>
      </c>
      <c r="D35" s="3">
        <f>Table3[[#This Row],['# with Full 
Medical Exemption]]/Table3[[#This Row],['# of Students]]</f>
        <v>4.4444444444444444E-3</v>
      </c>
      <c r="E35">
        <v>0</v>
      </c>
      <c r="F35" s="3">
        <f>Table3[[#This Row],['# UTD with 
Partial Medical Exemption]]/Table3[[#This Row],['# of Students]]</f>
        <v>0</v>
      </c>
      <c r="G35">
        <v>0</v>
      </c>
      <c r="H35" s="3">
        <f>Table3[[#This Row],['# with Full 
Religous Exemption]]/Table3[[#This Row],['# of Students]]</f>
        <v>0</v>
      </c>
      <c r="I35">
        <v>0</v>
      </c>
      <c r="J35" s="3">
        <f>Table3[[#This Row],['# UTD with 
Partial Religious Exemption]]/Table3[[#This Row],['# of Students]]</f>
        <v>0</v>
      </c>
    </row>
    <row r="36" spans="1:10" x14ac:dyDescent="0.35">
      <c r="A36" t="s">
        <v>35</v>
      </c>
      <c r="B36">
        <v>1473</v>
      </c>
      <c r="C36">
        <v>0</v>
      </c>
      <c r="D36" s="3">
        <f>Table3[[#This Row],['# with Full 
Medical Exemption]]/Table3[[#This Row],['# of Students]]</f>
        <v>0</v>
      </c>
      <c r="E36">
        <v>3</v>
      </c>
      <c r="F36" s="3">
        <f>Table3[[#This Row],['# UTD with 
Partial Medical Exemption]]/Table3[[#This Row],['# of Students]]</f>
        <v>2.0366598778004071E-3</v>
      </c>
      <c r="G36">
        <v>2</v>
      </c>
      <c r="H36" s="3">
        <f>Table3[[#This Row],['# with Full 
Religous Exemption]]/Table3[[#This Row],['# of Students]]</f>
        <v>1.3577732518669382E-3</v>
      </c>
      <c r="I36">
        <v>0</v>
      </c>
      <c r="J36" s="3">
        <f>Table3[[#This Row],['# UTD with 
Partial Religious Exemption]]/Table3[[#This Row],['# of Students]]</f>
        <v>0</v>
      </c>
    </row>
    <row r="37" spans="1:10" x14ac:dyDescent="0.35">
      <c r="A37" t="s">
        <v>36</v>
      </c>
      <c r="B37">
        <v>623</v>
      </c>
      <c r="C37">
        <v>0</v>
      </c>
      <c r="D37" s="3">
        <f>Table3[[#This Row],['# with Full 
Medical Exemption]]/Table3[[#This Row],['# of Students]]</f>
        <v>0</v>
      </c>
      <c r="E37">
        <v>1</v>
      </c>
      <c r="F37" s="3">
        <f>Table3[[#This Row],['# UTD with 
Partial Medical Exemption]]/Table3[[#This Row],['# of Students]]</f>
        <v>1.6051364365971107E-3</v>
      </c>
      <c r="G37">
        <v>12</v>
      </c>
      <c r="H37" s="3">
        <f>Table3[[#This Row],['# with Full 
Religous Exemption]]/Table3[[#This Row],['# of Students]]</f>
        <v>1.9261637239165328E-2</v>
      </c>
      <c r="I37">
        <v>0</v>
      </c>
      <c r="J37" s="3">
        <f>Table3[[#This Row],['# UTD with 
Partial Religious Exemption]]/Table3[[#This Row],['# of Students]]</f>
        <v>0</v>
      </c>
    </row>
    <row r="38" spans="1:10" x14ac:dyDescent="0.35">
      <c r="A38" t="s">
        <v>37</v>
      </c>
      <c r="B38">
        <v>8741</v>
      </c>
      <c r="C38">
        <v>2</v>
      </c>
      <c r="D38" s="3">
        <f>Table3[[#This Row],['# with Full 
Medical Exemption]]/Table3[[#This Row],['# of Students]]</f>
        <v>2.2880677268047135E-4</v>
      </c>
      <c r="E38">
        <v>3</v>
      </c>
      <c r="F38" s="3">
        <f>Table3[[#This Row],['# UTD with 
Partial Medical Exemption]]/Table3[[#This Row],['# of Students]]</f>
        <v>3.4321015902070702E-4</v>
      </c>
      <c r="G38">
        <v>60</v>
      </c>
      <c r="H38" s="3">
        <f>Table3[[#This Row],['# with Full 
Religous Exemption]]/Table3[[#This Row],['# of Students]]</f>
        <v>6.8642031804141404E-3</v>
      </c>
      <c r="I38">
        <v>0</v>
      </c>
      <c r="J38" s="3">
        <f>Table3[[#This Row],['# UTD with 
Partial Religious Exemption]]/Table3[[#This Row],['# of Students]]</f>
        <v>0</v>
      </c>
    </row>
    <row r="39" spans="1:10" x14ac:dyDescent="0.35">
      <c r="A39" t="s">
        <v>38</v>
      </c>
      <c r="B39">
        <v>168</v>
      </c>
      <c r="C39">
        <v>0</v>
      </c>
      <c r="D39" s="3">
        <f>Table3[[#This Row],['# with Full 
Medical Exemption]]/Table3[[#This Row],['# of Students]]</f>
        <v>0</v>
      </c>
      <c r="E39">
        <v>0</v>
      </c>
      <c r="F39" s="3">
        <f>Table3[[#This Row],['# UTD with 
Partial Medical Exemption]]/Table3[[#This Row],['# of Students]]</f>
        <v>0</v>
      </c>
      <c r="G39">
        <v>1</v>
      </c>
      <c r="H39" s="3">
        <f>Table3[[#This Row],['# with Full 
Religous Exemption]]/Table3[[#This Row],['# of Students]]</f>
        <v>5.9523809523809521E-3</v>
      </c>
      <c r="I39">
        <v>0</v>
      </c>
      <c r="J39" s="3">
        <f>Table3[[#This Row],['# UTD with 
Partial Religious Exemption]]/Table3[[#This Row],['# of Students]]</f>
        <v>0</v>
      </c>
    </row>
    <row r="40" spans="1:10" x14ac:dyDescent="0.35">
      <c r="A40" t="s">
        <v>39</v>
      </c>
      <c r="B40">
        <v>1033</v>
      </c>
      <c r="C40">
        <v>1</v>
      </c>
      <c r="D40" s="3">
        <f>Table3[[#This Row],['# with Full 
Medical Exemption]]/Table3[[#This Row],['# of Students]]</f>
        <v>9.6805421103581804E-4</v>
      </c>
      <c r="E40">
        <v>1</v>
      </c>
      <c r="F40" s="3">
        <f>Table3[[#This Row],['# UTD with 
Partial Medical Exemption]]/Table3[[#This Row],['# of Students]]</f>
        <v>9.6805421103581804E-4</v>
      </c>
      <c r="G40">
        <v>18</v>
      </c>
      <c r="H40" s="3">
        <f>Table3[[#This Row],['# with Full 
Religous Exemption]]/Table3[[#This Row],['# of Students]]</f>
        <v>1.7424975798644726E-2</v>
      </c>
      <c r="I40">
        <v>0</v>
      </c>
      <c r="J40" s="3">
        <f>Table3[[#This Row],['# UTD with 
Partial Religious Exemption]]/Table3[[#This Row],['# of Students]]</f>
        <v>0</v>
      </c>
    </row>
    <row r="41" spans="1:10" x14ac:dyDescent="0.35">
      <c r="A41" t="s">
        <v>40</v>
      </c>
      <c r="B41">
        <v>399</v>
      </c>
      <c r="C41">
        <v>1</v>
      </c>
      <c r="D41" s="3">
        <f>Table3[[#This Row],['# with Full 
Medical Exemption]]/Table3[[#This Row],['# of Students]]</f>
        <v>2.5062656641604009E-3</v>
      </c>
      <c r="E41">
        <v>1</v>
      </c>
      <c r="F41" s="3">
        <f>Table3[[#This Row],['# UTD with 
Partial Medical Exemption]]/Table3[[#This Row],['# of Students]]</f>
        <v>2.5062656641604009E-3</v>
      </c>
      <c r="G41">
        <v>3</v>
      </c>
      <c r="H41" s="3">
        <f>Table3[[#This Row],['# with Full 
Religous Exemption]]/Table3[[#This Row],['# of Students]]</f>
        <v>7.5187969924812026E-3</v>
      </c>
      <c r="I41">
        <v>0</v>
      </c>
      <c r="J41" s="3">
        <f>Table3[[#This Row],['# UTD with 
Partial Religious Exemption]]/Table3[[#This Row],['# of Students]]</f>
        <v>0</v>
      </c>
    </row>
    <row r="42" spans="1:10" x14ac:dyDescent="0.35">
      <c r="A42" t="s">
        <v>41</v>
      </c>
      <c r="B42">
        <v>2216</v>
      </c>
      <c r="C42">
        <v>1</v>
      </c>
      <c r="D42" s="3">
        <f>Table3[[#This Row],['# with Full 
Medical Exemption]]/Table3[[#This Row],['# of Students]]</f>
        <v>4.512635379061372E-4</v>
      </c>
      <c r="E42">
        <v>1</v>
      </c>
      <c r="F42" s="3">
        <f>Table3[[#This Row],['# UTD with 
Partial Medical Exemption]]/Table3[[#This Row],['# of Students]]</f>
        <v>4.512635379061372E-4</v>
      </c>
      <c r="G42">
        <v>11</v>
      </c>
      <c r="H42" s="3">
        <f>Table3[[#This Row],['# with Full 
Religous Exemption]]/Table3[[#This Row],['# of Students]]</f>
        <v>4.9638989169675093E-3</v>
      </c>
      <c r="I42">
        <v>0</v>
      </c>
      <c r="J42" s="3">
        <f>Table3[[#This Row],['# UTD with 
Partial Religious Exemption]]/Table3[[#This Row],['# of Students]]</f>
        <v>0</v>
      </c>
    </row>
    <row r="43" spans="1:10" x14ac:dyDescent="0.35">
      <c r="A43" t="s">
        <v>42</v>
      </c>
      <c r="B43">
        <v>1855</v>
      </c>
      <c r="C43">
        <v>3</v>
      </c>
      <c r="D43" s="3">
        <f>Table3[[#This Row],['# with Full 
Medical Exemption]]/Table3[[#This Row],['# of Students]]</f>
        <v>1.6172506738544475E-3</v>
      </c>
      <c r="E43">
        <v>0</v>
      </c>
      <c r="F43" s="3">
        <f>Table3[[#This Row],['# UTD with 
Partial Medical Exemption]]/Table3[[#This Row],['# of Students]]</f>
        <v>0</v>
      </c>
      <c r="G43">
        <v>26</v>
      </c>
      <c r="H43" s="3">
        <f>Table3[[#This Row],['# with Full 
Religous Exemption]]/Table3[[#This Row],['# of Students]]</f>
        <v>1.4016172506738544E-2</v>
      </c>
      <c r="I43">
        <v>1</v>
      </c>
      <c r="J43" s="3">
        <f>Table3[[#This Row],['# UTD with 
Partial Religious Exemption]]/Table3[[#This Row],['# of Students]]</f>
        <v>5.3908355795148253E-4</v>
      </c>
    </row>
    <row r="44" spans="1:10" x14ac:dyDescent="0.35">
      <c r="A44" t="s">
        <v>43</v>
      </c>
      <c r="B44">
        <v>124</v>
      </c>
      <c r="C44">
        <v>0</v>
      </c>
      <c r="D44" s="3">
        <f>Table3[[#This Row],['# with Full 
Medical Exemption]]/Table3[[#This Row],['# of Students]]</f>
        <v>0</v>
      </c>
      <c r="E44">
        <v>0</v>
      </c>
      <c r="F44" s="3">
        <f>Table3[[#This Row],['# UTD with 
Partial Medical Exemption]]/Table3[[#This Row],['# of Students]]</f>
        <v>0</v>
      </c>
      <c r="G44">
        <v>0</v>
      </c>
      <c r="H44" s="3">
        <f>Table3[[#This Row],['# with Full 
Religous Exemption]]/Table3[[#This Row],['# of Students]]</f>
        <v>0</v>
      </c>
      <c r="I44">
        <v>0</v>
      </c>
      <c r="J44" s="3">
        <f>Table3[[#This Row],['# UTD with 
Partial Religious Exemption]]/Table3[[#This Row],['# of Students]]</f>
        <v>0</v>
      </c>
    </row>
    <row r="45" spans="1:10" x14ac:dyDescent="0.35">
      <c r="A45" t="s">
        <v>44</v>
      </c>
      <c r="B45">
        <v>174</v>
      </c>
      <c r="C45">
        <v>0</v>
      </c>
      <c r="D45" s="3">
        <f>Table3[[#This Row],['# with Full 
Medical Exemption]]/Table3[[#This Row],['# of Students]]</f>
        <v>0</v>
      </c>
      <c r="E45">
        <v>0</v>
      </c>
      <c r="F45" s="3">
        <f>Table3[[#This Row],['# UTD with 
Partial Medical Exemption]]/Table3[[#This Row],['# of Students]]</f>
        <v>0</v>
      </c>
      <c r="G45">
        <v>6</v>
      </c>
      <c r="H45" s="3">
        <f>Table3[[#This Row],['# with Full 
Religous Exemption]]/Table3[[#This Row],['# of Students]]</f>
        <v>3.4482758620689655E-2</v>
      </c>
      <c r="I45">
        <v>0</v>
      </c>
      <c r="J45" s="3">
        <f>Table3[[#This Row],['# UTD with 
Partial Religious Exemption]]/Table3[[#This Row],['# of Students]]</f>
        <v>0</v>
      </c>
    </row>
    <row r="46" spans="1:10" x14ac:dyDescent="0.35">
      <c r="A46" t="s">
        <v>45</v>
      </c>
      <c r="B46">
        <v>5101</v>
      </c>
      <c r="C46">
        <v>3</v>
      </c>
      <c r="D46" s="3">
        <f>Table3[[#This Row],['# with Full 
Medical Exemption]]/Table3[[#This Row],['# of Students]]</f>
        <v>5.8811997647520095E-4</v>
      </c>
      <c r="E46">
        <v>2</v>
      </c>
      <c r="F46" s="3">
        <f>Table3[[#This Row],['# UTD with 
Partial Medical Exemption]]/Table3[[#This Row],['# of Students]]</f>
        <v>3.9207998431680063E-4</v>
      </c>
      <c r="G46">
        <v>56</v>
      </c>
      <c r="H46" s="3">
        <f>Table3[[#This Row],['# with Full 
Religous Exemption]]/Table3[[#This Row],['# of Students]]</f>
        <v>1.0978239560870417E-2</v>
      </c>
      <c r="I46">
        <v>0</v>
      </c>
      <c r="J46" s="3">
        <f>Table3[[#This Row],['# UTD with 
Partial Religious Exemption]]/Table3[[#This Row],['# of Students]]</f>
        <v>0</v>
      </c>
    </row>
    <row r="47" spans="1:10" x14ac:dyDescent="0.35">
      <c r="A47" t="s">
        <v>46</v>
      </c>
      <c r="B47">
        <v>333</v>
      </c>
      <c r="C47">
        <v>0</v>
      </c>
      <c r="D47" s="3">
        <f>Table3[[#This Row],['# with Full 
Medical Exemption]]/Table3[[#This Row],['# of Students]]</f>
        <v>0</v>
      </c>
      <c r="E47">
        <v>0</v>
      </c>
      <c r="F47" s="3">
        <f>Table3[[#This Row],['# UTD with 
Partial Medical Exemption]]/Table3[[#This Row],['# of Students]]</f>
        <v>0</v>
      </c>
      <c r="G47">
        <v>0</v>
      </c>
      <c r="H47" s="3">
        <f>Table3[[#This Row],['# with Full 
Religous Exemption]]/Table3[[#This Row],['# of Students]]</f>
        <v>0</v>
      </c>
      <c r="I47">
        <v>0</v>
      </c>
      <c r="J47" s="3">
        <f>Table3[[#This Row],['# UTD with 
Partial Religious Exemption]]/Table3[[#This Row],['# of Students]]</f>
        <v>0</v>
      </c>
    </row>
    <row r="48" spans="1:10" x14ac:dyDescent="0.35">
      <c r="A48" t="s">
        <v>47</v>
      </c>
      <c r="B48">
        <v>401</v>
      </c>
      <c r="C48">
        <v>0</v>
      </c>
      <c r="D48" s="3">
        <f>Table3[[#This Row],['# with Full 
Medical Exemption]]/Table3[[#This Row],['# of Students]]</f>
        <v>0</v>
      </c>
      <c r="E48">
        <v>0</v>
      </c>
      <c r="F48" s="3">
        <f>Table3[[#This Row],['# UTD with 
Partial Medical Exemption]]/Table3[[#This Row],['# of Students]]</f>
        <v>0</v>
      </c>
      <c r="G48">
        <v>7</v>
      </c>
      <c r="H48" s="3">
        <f>Table3[[#This Row],['# with Full 
Religous Exemption]]/Table3[[#This Row],['# of Students]]</f>
        <v>1.7456359102244388E-2</v>
      </c>
      <c r="I48">
        <v>0</v>
      </c>
      <c r="J48" s="3">
        <f>Table3[[#This Row],['# UTD with 
Partial Religious Exemption]]/Table3[[#This Row],['# of Students]]</f>
        <v>0</v>
      </c>
    </row>
    <row r="49" spans="1:10" x14ac:dyDescent="0.35">
      <c r="A49" t="s">
        <v>48</v>
      </c>
      <c r="B49">
        <v>1535</v>
      </c>
      <c r="C49">
        <v>0</v>
      </c>
      <c r="D49" s="3">
        <f>Table3[[#This Row],['# with Full 
Medical Exemption]]/Table3[[#This Row],['# of Students]]</f>
        <v>0</v>
      </c>
      <c r="E49">
        <v>0</v>
      </c>
      <c r="F49" s="3">
        <f>Table3[[#This Row],['# UTD with 
Partial Medical Exemption]]/Table3[[#This Row],['# of Students]]</f>
        <v>0</v>
      </c>
      <c r="G49">
        <v>12</v>
      </c>
      <c r="H49" s="3">
        <f>Table3[[#This Row],['# with Full 
Religous Exemption]]/Table3[[#This Row],['# of Students]]</f>
        <v>7.8175895765472316E-3</v>
      </c>
      <c r="I49">
        <v>0</v>
      </c>
      <c r="J49" s="3">
        <f>Table3[[#This Row],['# UTD with 
Partial Religious Exemption]]/Table3[[#This Row],['# of Students]]</f>
        <v>0</v>
      </c>
    </row>
    <row r="50" spans="1:10" x14ac:dyDescent="0.35">
      <c r="A50" t="s">
        <v>49</v>
      </c>
      <c r="B50">
        <v>6429</v>
      </c>
      <c r="C50">
        <v>3</v>
      </c>
      <c r="D50" s="3">
        <f>Table3[[#This Row],['# with Full 
Medical Exemption]]/Table3[[#This Row],['# of Students]]</f>
        <v>4.6663555762949138E-4</v>
      </c>
      <c r="E50">
        <v>4</v>
      </c>
      <c r="F50" s="3">
        <f>Table3[[#This Row],['# UTD with 
Partial Medical Exemption]]/Table3[[#This Row],['# of Students]]</f>
        <v>6.221807435059885E-4</v>
      </c>
      <c r="G50">
        <v>79</v>
      </c>
      <c r="H50" s="3">
        <f>Table3[[#This Row],['# with Full 
Religous Exemption]]/Table3[[#This Row],['# of Students]]</f>
        <v>1.2288069684243272E-2</v>
      </c>
      <c r="I50">
        <v>0</v>
      </c>
      <c r="J50" s="3">
        <f>Table3[[#This Row],['# UTD with 
Partial Religious Exemption]]/Table3[[#This Row],['# of Students]]</f>
        <v>0</v>
      </c>
    </row>
    <row r="51" spans="1:10" x14ac:dyDescent="0.35">
      <c r="A51" t="s">
        <v>50</v>
      </c>
      <c r="B51">
        <v>294</v>
      </c>
      <c r="C51">
        <v>0</v>
      </c>
      <c r="D51" s="3">
        <f>Table3[[#This Row],['# with Full 
Medical Exemption]]/Table3[[#This Row],['# of Students]]</f>
        <v>0</v>
      </c>
      <c r="E51">
        <v>1</v>
      </c>
      <c r="F51" s="3">
        <f>Table3[[#This Row],['# UTD with 
Partial Medical Exemption]]/Table3[[#This Row],['# of Students]]</f>
        <v>3.4013605442176869E-3</v>
      </c>
      <c r="G51">
        <v>1</v>
      </c>
      <c r="H51" s="3">
        <f>Table3[[#This Row],['# with Full 
Religous Exemption]]/Table3[[#This Row],['# of Students]]</f>
        <v>3.4013605442176869E-3</v>
      </c>
      <c r="I51">
        <v>0</v>
      </c>
      <c r="J51" s="3">
        <f>Table3[[#This Row],['# UTD with 
Partial Religious Exemption]]/Table3[[#This Row],['# of Students]]</f>
        <v>0</v>
      </c>
    </row>
    <row r="52" spans="1:10" x14ac:dyDescent="0.35">
      <c r="A52" t="s">
        <v>51</v>
      </c>
      <c r="B52">
        <v>3333</v>
      </c>
      <c r="C52">
        <v>2</v>
      </c>
      <c r="D52" s="3">
        <f>Table3[[#This Row],['# with Full 
Medical Exemption]]/Table3[[#This Row],['# of Students]]</f>
        <v>6.0006000600060011E-4</v>
      </c>
      <c r="E52">
        <v>2</v>
      </c>
      <c r="F52" s="3">
        <f>Table3[[#This Row],['# UTD with 
Partial Medical Exemption]]/Table3[[#This Row],['# of Students]]</f>
        <v>6.0006000600060011E-4</v>
      </c>
      <c r="G52">
        <v>13</v>
      </c>
      <c r="H52" s="3">
        <f>Table3[[#This Row],['# with Full 
Religous Exemption]]/Table3[[#This Row],['# of Students]]</f>
        <v>3.9003900390039005E-3</v>
      </c>
      <c r="I52">
        <v>0</v>
      </c>
      <c r="J52" s="3">
        <f>Table3[[#This Row],['# UTD with 
Partial Religious Exemption]]/Table3[[#This Row],['# of Students]]</f>
        <v>0</v>
      </c>
    </row>
    <row r="53" spans="1:10" x14ac:dyDescent="0.35">
      <c r="A53" t="s">
        <v>52</v>
      </c>
      <c r="B53">
        <v>1718</v>
      </c>
      <c r="C53">
        <v>0</v>
      </c>
      <c r="D53" s="3">
        <f>Table3[[#This Row],['# with Full 
Medical Exemption]]/Table3[[#This Row],['# of Students]]</f>
        <v>0</v>
      </c>
      <c r="E53">
        <v>0</v>
      </c>
      <c r="F53" s="3">
        <f>Table3[[#This Row],['# UTD with 
Partial Medical Exemption]]/Table3[[#This Row],['# of Students]]</f>
        <v>0</v>
      </c>
      <c r="G53">
        <v>12</v>
      </c>
      <c r="H53" s="3">
        <f>Table3[[#This Row],['# with Full 
Religous Exemption]]/Table3[[#This Row],['# of Students]]</f>
        <v>6.9848661233993014E-3</v>
      </c>
      <c r="I53">
        <v>0</v>
      </c>
      <c r="J53" s="3">
        <f>Table3[[#This Row],['# UTD with 
Partial Religious Exemption]]/Table3[[#This Row],['# of Students]]</f>
        <v>0</v>
      </c>
    </row>
    <row r="54" spans="1:10" x14ac:dyDescent="0.35">
      <c r="A54" t="s">
        <v>53</v>
      </c>
      <c r="B54">
        <v>123</v>
      </c>
      <c r="C54">
        <v>0</v>
      </c>
      <c r="D54" s="3">
        <f>Table3[[#This Row],['# with Full 
Medical Exemption]]/Table3[[#This Row],['# of Students]]</f>
        <v>0</v>
      </c>
      <c r="E54">
        <v>0</v>
      </c>
      <c r="F54" s="3">
        <f>Table3[[#This Row],['# UTD with 
Partial Medical Exemption]]/Table3[[#This Row],['# of Students]]</f>
        <v>0</v>
      </c>
      <c r="G54">
        <v>0</v>
      </c>
      <c r="H54" s="3">
        <f>Table3[[#This Row],['# with Full 
Religous Exemption]]/Table3[[#This Row],['# of Students]]</f>
        <v>0</v>
      </c>
      <c r="I54">
        <v>0</v>
      </c>
      <c r="J54" s="3">
        <f>Table3[[#This Row],['# UTD with 
Partial Religious Exemption]]/Table3[[#This Row],['# of Students]]</f>
        <v>0</v>
      </c>
    </row>
    <row r="55" spans="1:10" x14ac:dyDescent="0.35">
      <c r="A55" t="s">
        <v>54</v>
      </c>
      <c r="B55">
        <v>214</v>
      </c>
      <c r="C55">
        <v>0</v>
      </c>
      <c r="D55" s="3">
        <f>Table3[[#This Row],['# with Full 
Medical Exemption]]/Table3[[#This Row],['# of Students]]</f>
        <v>0</v>
      </c>
      <c r="E55">
        <v>0</v>
      </c>
      <c r="F55" s="3">
        <f>Table3[[#This Row],['# UTD with 
Partial Medical Exemption]]/Table3[[#This Row],['# of Students]]</f>
        <v>0</v>
      </c>
      <c r="G55">
        <v>1</v>
      </c>
      <c r="H55" s="3">
        <f>Table3[[#This Row],['# with Full 
Religous Exemption]]/Table3[[#This Row],['# of Students]]</f>
        <v>4.6728971962616819E-3</v>
      </c>
      <c r="I55">
        <v>0</v>
      </c>
      <c r="J55" s="3">
        <f>Table3[[#This Row],['# UTD with 
Partial Religious Exemption]]/Table3[[#This Row],['# of Students]]</f>
        <v>0</v>
      </c>
    </row>
    <row r="56" spans="1:10" x14ac:dyDescent="0.35">
      <c r="A56" t="s">
        <v>55</v>
      </c>
      <c r="B56">
        <v>352</v>
      </c>
      <c r="C56">
        <v>0</v>
      </c>
      <c r="D56" s="3">
        <f>Table3[[#This Row],['# with Full 
Medical Exemption]]/Table3[[#This Row],['# of Students]]</f>
        <v>0</v>
      </c>
      <c r="E56">
        <v>0</v>
      </c>
      <c r="F56" s="3">
        <f>Table3[[#This Row],['# UTD with 
Partial Medical Exemption]]/Table3[[#This Row],['# of Students]]</f>
        <v>0</v>
      </c>
      <c r="G56">
        <v>0</v>
      </c>
      <c r="H56" s="3">
        <f>Table3[[#This Row],['# with Full 
Religous Exemption]]/Table3[[#This Row],['# of Students]]</f>
        <v>0</v>
      </c>
      <c r="I56">
        <v>0</v>
      </c>
      <c r="J56" s="3">
        <f>Table3[[#This Row],['# UTD with 
Partial Religious Exemption]]/Table3[[#This Row],['# of Students]]</f>
        <v>0</v>
      </c>
    </row>
    <row r="57" spans="1:10" x14ac:dyDescent="0.35">
      <c r="A57" t="s">
        <v>56</v>
      </c>
      <c r="B57">
        <v>286</v>
      </c>
      <c r="C57">
        <v>0</v>
      </c>
      <c r="D57" s="3">
        <f>Table3[[#This Row],['# with Full 
Medical Exemption]]/Table3[[#This Row],['# of Students]]</f>
        <v>0</v>
      </c>
      <c r="E57">
        <v>0</v>
      </c>
      <c r="F57" s="3">
        <f>Table3[[#This Row],['# UTD with 
Partial Medical Exemption]]/Table3[[#This Row],['# of Students]]</f>
        <v>0</v>
      </c>
      <c r="G57">
        <v>2</v>
      </c>
      <c r="H57" s="3">
        <f>Table3[[#This Row],['# with Full 
Religous Exemption]]/Table3[[#This Row],['# of Students]]</f>
        <v>6.993006993006993E-3</v>
      </c>
      <c r="I57">
        <v>0</v>
      </c>
      <c r="J57" s="3">
        <f>Table3[[#This Row],['# UTD with 
Partial Religious Exemption]]/Table3[[#This Row],['# of Students]]</f>
        <v>0</v>
      </c>
    </row>
    <row r="58" spans="1:10" x14ac:dyDescent="0.35">
      <c r="A58" t="s">
        <v>57</v>
      </c>
      <c r="B58">
        <v>957</v>
      </c>
      <c r="C58">
        <v>0</v>
      </c>
      <c r="D58" s="3">
        <f>Table3[[#This Row],['# with Full 
Medical Exemption]]/Table3[[#This Row],['# of Students]]</f>
        <v>0</v>
      </c>
      <c r="E58">
        <v>1</v>
      </c>
      <c r="F58" s="3">
        <f>Table3[[#This Row],['# UTD with 
Partial Medical Exemption]]/Table3[[#This Row],['# of Students]]</f>
        <v>1.0449320794148381E-3</v>
      </c>
      <c r="G58">
        <v>0</v>
      </c>
      <c r="H58" s="3">
        <f>Table3[[#This Row],['# with Full 
Religous Exemption]]/Table3[[#This Row],['# of Students]]</f>
        <v>0</v>
      </c>
      <c r="I58">
        <v>0</v>
      </c>
      <c r="J58" s="3">
        <f>Table3[[#This Row],['# UTD with 
Partial Religious Exemption]]/Table3[[#This Row],['# of Students]]</f>
        <v>0</v>
      </c>
    </row>
    <row r="59" spans="1:10" x14ac:dyDescent="0.35">
      <c r="A59" t="s">
        <v>58</v>
      </c>
      <c r="B59">
        <v>3446</v>
      </c>
      <c r="C59">
        <v>1</v>
      </c>
      <c r="D59" s="3">
        <f>Table3[[#This Row],['# with Full 
Medical Exemption]]/Table3[[#This Row],['# of Students]]</f>
        <v>2.901915264074289E-4</v>
      </c>
      <c r="E59">
        <v>0</v>
      </c>
      <c r="F59" s="3">
        <f>Table3[[#This Row],['# UTD with 
Partial Medical Exemption]]/Table3[[#This Row],['# of Students]]</f>
        <v>0</v>
      </c>
      <c r="G59">
        <v>48</v>
      </c>
      <c r="H59" s="3">
        <f>Table3[[#This Row],['# with Full 
Religous Exemption]]/Table3[[#This Row],['# of Students]]</f>
        <v>1.3929193267556587E-2</v>
      </c>
      <c r="I59">
        <v>0</v>
      </c>
      <c r="J59" s="3">
        <f>Table3[[#This Row],['# UTD with 
Partial Religious Exemption]]/Table3[[#This Row],['# of Students]]</f>
        <v>0</v>
      </c>
    </row>
    <row r="60" spans="1:10" x14ac:dyDescent="0.35">
      <c r="A60" t="s">
        <v>77</v>
      </c>
      <c r="B60">
        <v>1210</v>
      </c>
      <c r="C60">
        <v>2</v>
      </c>
      <c r="D60" s="3">
        <f>Table3[[#This Row],['# with Full 
Medical Exemption]]/Table3[[#This Row],['# of Students]]</f>
        <v>1.652892561983471E-3</v>
      </c>
      <c r="E60">
        <v>0</v>
      </c>
      <c r="F60" s="3">
        <f>Table3[[#This Row],['# UTD with 
Partial Medical Exemption]]/Table3[[#This Row],['# of Students]]</f>
        <v>0</v>
      </c>
      <c r="G60">
        <v>8</v>
      </c>
      <c r="H60" s="3">
        <f>Table3[[#This Row],['# with Full 
Religous Exemption]]/Table3[[#This Row],['# of Students]]</f>
        <v>6.6115702479338841E-3</v>
      </c>
      <c r="I60">
        <v>0</v>
      </c>
      <c r="J60" s="3">
        <f>Table3[[#This Row],['# UTD with 
Partial Religious Exemption]]/Table3[[#This Row],['# of Students]]</f>
        <v>0</v>
      </c>
    </row>
    <row r="61" spans="1:10" x14ac:dyDescent="0.35">
      <c r="A61" t="s">
        <v>60</v>
      </c>
      <c r="B61">
        <v>118</v>
      </c>
      <c r="C61">
        <v>0</v>
      </c>
      <c r="D61" s="3">
        <f>Table3[[#This Row],['# with Full 
Medical Exemption]]/Table3[[#This Row],['# of Students]]</f>
        <v>0</v>
      </c>
      <c r="E61">
        <v>0</v>
      </c>
      <c r="F61" s="3">
        <f>Table3[[#This Row],['# UTD with 
Partial Medical Exemption]]/Table3[[#This Row],['# of Students]]</f>
        <v>0</v>
      </c>
      <c r="G61">
        <v>2</v>
      </c>
      <c r="H61" s="3">
        <f>Table3[[#This Row],['# with Full 
Religous Exemption]]/Table3[[#This Row],['# of Students]]</f>
        <v>1.6949152542372881E-2</v>
      </c>
      <c r="I61">
        <v>1</v>
      </c>
      <c r="J61" s="3">
        <f>Table3[[#This Row],['# UTD with 
Partial Religious Exemption]]/Table3[[#This Row],['# of Students]]</f>
        <v>8.4745762711864406E-3</v>
      </c>
    </row>
    <row r="62" spans="1:10" x14ac:dyDescent="0.35">
      <c r="A62" t="s">
        <v>61</v>
      </c>
      <c r="B62">
        <v>1029</v>
      </c>
      <c r="C62">
        <v>0</v>
      </c>
      <c r="D62" s="3">
        <f>Table3[[#This Row],['# with Full 
Medical Exemption]]/Table3[[#This Row],['# of Students]]</f>
        <v>0</v>
      </c>
      <c r="E62">
        <v>0</v>
      </c>
      <c r="F62" s="3">
        <f>Table3[[#This Row],['# UTD with 
Partial Medical Exemption]]/Table3[[#This Row],['# of Students]]</f>
        <v>0</v>
      </c>
      <c r="G62">
        <v>6</v>
      </c>
      <c r="H62" s="3">
        <f>Table3[[#This Row],['# with Full 
Religous Exemption]]/Table3[[#This Row],['# of Students]]</f>
        <v>5.8309037900874635E-3</v>
      </c>
      <c r="I62">
        <v>1</v>
      </c>
      <c r="J62" s="3">
        <f>Table3[[#This Row],['# UTD with 
Partial Religious Exemption]]/Table3[[#This Row],['# of Students]]</f>
        <v>9.7181729834791054E-4</v>
      </c>
    </row>
    <row r="63" spans="1:10" x14ac:dyDescent="0.35">
      <c r="A63" t="s">
        <v>62</v>
      </c>
      <c r="B63">
        <v>461</v>
      </c>
      <c r="C63">
        <v>2</v>
      </c>
      <c r="D63" s="3">
        <f>Table3[[#This Row],['# with Full 
Medical Exemption]]/Table3[[#This Row],['# of Students]]</f>
        <v>4.3383947939262474E-3</v>
      </c>
      <c r="E63">
        <v>0</v>
      </c>
      <c r="F63" s="3">
        <f>Table3[[#This Row],['# UTD with 
Partial Medical Exemption]]/Table3[[#This Row],['# of Students]]</f>
        <v>0</v>
      </c>
      <c r="G63">
        <v>5</v>
      </c>
      <c r="H63" s="3">
        <f>Table3[[#This Row],['# with Full 
Religous Exemption]]/Table3[[#This Row],['# of Students]]</f>
        <v>1.0845986984815618E-2</v>
      </c>
      <c r="I63">
        <v>0</v>
      </c>
      <c r="J63" s="3">
        <f>Table3[[#This Row],['# UTD with 
Partial Religious Exemption]]/Table3[[#This Row],['# of Students]]</f>
        <v>0</v>
      </c>
    </row>
    <row r="64" spans="1:10" x14ac:dyDescent="0.35">
      <c r="A64" t="s">
        <v>63</v>
      </c>
      <c r="B64">
        <v>2551</v>
      </c>
      <c r="C64">
        <v>4</v>
      </c>
      <c r="D64" s="3">
        <f>Table3[[#This Row],['# with Full 
Medical Exemption]]/Table3[[#This Row],['# of Students]]</f>
        <v>1.5680125441003528E-3</v>
      </c>
      <c r="E64">
        <v>0</v>
      </c>
      <c r="F64" s="3">
        <f>Table3[[#This Row],['# UTD with 
Partial Medical Exemption]]/Table3[[#This Row],['# of Students]]</f>
        <v>0</v>
      </c>
      <c r="G64">
        <v>18</v>
      </c>
      <c r="H64" s="3">
        <f>Table3[[#This Row],['# with Full 
Religous Exemption]]/Table3[[#This Row],['# of Students]]</f>
        <v>7.0560564484515873E-3</v>
      </c>
      <c r="I64">
        <v>0</v>
      </c>
      <c r="J64" s="3">
        <f>Table3[[#This Row],['# UTD with 
Partial Religious Exemption]]/Table3[[#This Row],['# of Students]]</f>
        <v>0</v>
      </c>
    </row>
    <row r="65" spans="1:10" x14ac:dyDescent="0.35">
      <c r="A65" t="s">
        <v>64</v>
      </c>
      <c r="B65">
        <v>741</v>
      </c>
      <c r="C65">
        <v>2</v>
      </c>
      <c r="D65" s="3">
        <f>Table3[[#This Row],['# with Full 
Medical Exemption]]/Table3[[#This Row],['# of Students]]</f>
        <v>2.6990553306342779E-3</v>
      </c>
      <c r="E65">
        <v>1</v>
      </c>
      <c r="F65" s="3">
        <f>Table3[[#This Row],['# UTD with 
Partial Medical Exemption]]/Table3[[#This Row],['# of Students]]</f>
        <v>1.3495276653171389E-3</v>
      </c>
      <c r="G65">
        <v>3</v>
      </c>
      <c r="H65" s="3">
        <f>Table3[[#This Row],['# with Full 
Religous Exemption]]/Table3[[#This Row],['# of Students]]</f>
        <v>4.048582995951417E-3</v>
      </c>
      <c r="I65">
        <v>0</v>
      </c>
      <c r="J65" s="3">
        <f>Table3[[#This Row],['# UTD with 
Partial Religious Exemption]]/Table3[[#This Row],['# of Students]]</f>
        <v>0</v>
      </c>
    </row>
    <row r="66" spans="1:10" x14ac:dyDescent="0.35">
      <c r="A66" t="s">
        <v>65</v>
      </c>
      <c r="B66">
        <v>219</v>
      </c>
      <c r="C66">
        <v>0</v>
      </c>
      <c r="D66" s="3">
        <f>Table3[[#This Row],['# with Full 
Medical Exemption]]/Table3[[#This Row],['# of Students]]</f>
        <v>0</v>
      </c>
      <c r="E66">
        <v>0</v>
      </c>
      <c r="F66" s="3">
        <f>Table3[[#This Row],['# UTD with 
Partial Medical Exemption]]/Table3[[#This Row],['# of Students]]</f>
        <v>0</v>
      </c>
      <c r="G66">
        <v>0</v>
      </c>
      <c r="H66" s="3">
        <f>Table3[[#This Row],['# with Full 
Religous Exemption]]/Table3[[#This Row],['# of Students]]</f>
        <v>0</v>
      </c>
      <c r="I66">
        <v>0</v>
      </c>
      <c r="J66" s="3">
        <f>Table3[[#This Row],['# UTD with 
Partial Religious Exemption]]/Table3[[#This Row],['# of Students]]</f>
        <v>0</v>
      </c>
    </row>
    <row r="67" spans="1:10" x14ac:dyDescent="0.35">
      <c r="A67" t="s">
        <v>66</v>
      </c>
      <c r="B67">
        <v>112</v>
      </c>
      <c r="C67">
        <v>0</v>
      </c>
      <c r="D67" s="3">
        <f>Table3[[#This Row],['# with Full 
Medical Exemption]]/Table3[[#This Row],['# of Students]]</f>
        <v>0</v>
      </c>
      <c r="E67">
        <v>0</v>
      </c>
      <c r="F67" s="3">
        <f>Table3[[#This Row],['# UTD with 
Partial Medical Exemption]]/Table3[[#This Row],['# of Students]]</f>
        <v>0</v>
      </c>
      <c r="G67">
        <v>0</v>
      </c>
      <c r="H67" s="3">
        <f>Table3[[#This Row],['# with Full 
Religous Exemption]]/Table3[[#This Row],['# of Students]]</f>
        <v>0</v>
      </c>
      <c r="I67">
        <v>0</v>
      </c>
      <c r="J67" s="3">
        <f>Table3[[#This Row],['# UTD with 
Partial Religious Exemption]]/Table3[[#This Row],['# of Students]]</f>
        <v>0</v>
      </c>
    </row>
    <row r="68" spans="1:10" x14ac:dyDescent="0.35">
      <c r="A68" t="s">
        <v>67</v>
      </c>
      <c r="B68">
        <v>302</v>
      </c>
      <c r="C68">
        <v>0</v>
      </c>
      <c r="D68" s="3">
        <f>Table3[[#This Row],['# with Full 
Medical Exemption]]/Table3[[#This Row],['# of Students]]</f>
        <v>0</v>
      </c>
      <c r="E68">
        <v>0</v>
      </c>
      <c r="F68" s="3">
        <f>Table3[[#This Row],['# UTD with 
Partial Medical Exemption]]/Table3[[#This Row],['# of Students]]</f>
        <v>0</v>
      </c>
      <c r="G68">
        <v>6</v>
      </c>
      <c r="H68" s="3">
        <f>Table3[[#This Row],['# with Full 
Religous Exemption]]/Table3[[#This Row],['# of Students]]</f>
        <v>1.9867549668874173E-2</v>
      </c>
      <c r="I68">
        <v>0</v>
      </c>
      <c r="J68" s="3">
        <f>Table3[[#This Row],['# UTD with 
Partial Religious Exemption]]/Table3[[#This Row],['# of Students]]</f>
        <v>0</v>
      </c>
    </row>
    <row r="69" spans="1:10" x14ac:dyDescent="0.35">
      <c r="B69">
        <f>SUBTOTAL(109,Table3['# of Students])</f>
        <v>67973</v>
      </c>
      <c r="C69">
        <f>SUBTOTAL(109,Table3['# with Full 
Medical Exemption])</f>
        <v>41</v>
      </c>
      <c r="D69" s="3">
        <f>Table3[[#Totals],['# with Full 
Medical Exemption]]/Table3[[#Totals],['# of Students]]</f>
        <v>6.0318067467965224E-4</v>
      </c>
      <c r="E69">
        <f>SUBTOTAL(109,Table3['# UTD with 
Partial Medical Exemption])</f>
        <v>36</v>
      </c>
      <c r="F69" s="3">
        <f>Table3[[#Totals],['# UTD with 
Partial Medical Exemption]]/Table3[[#Totals],['# of Students]]</f>
        <v>5.2962205581627998E-4</v>
      </c>
      <c r="G69">
        <f>SUBTOTAL(109,Table3['# with Full 
Religous Exemption])</f>
        <v>591</v>
      </c>
      <c r="H69" s="3">
        <f>Table3[[#Totals],['# with Full 
Religous Exemption]]/Table3[[#Totals],['# of Students]]</f>
        <v>8.6946287496505962E-3</v>
      </c>
      <c r="I69">
        <f>SUBTOTAL(109,Table3['# UTD with 
Partial Religious Exemption])</f>
        <v>4</v>
      </c>
      <c r="J69" s="3">
        <f>Table3[[#Totals],['# UTD with 
Partial Religious Exemption]]/Table3[[#Totals],['# of Students]]</f>
        <v>5.8846895090697774E-5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9E0BD-F3F6-4613-9157-964E1F248886}">
  <dimension ref="A1:J69"/>
  <sheetViews>
    <sheetView workbookViewId="0">
      <selection sqref="A1:XFD1"/>
    </sheetView>
  </sheetViews>
  <sheetFormatPr defaultRowHeight="14.5" x14ac:dyDescent="0.35"/>
  <cols>
    <col min="1" max="1" width="14.26953125" bestFit="1" customWidth="1"/>
    <col min="2" max="2" width="14.81640625" bestFit="1" customWidth="1"/>
    <col min="3" max="3" width="20.7265625" bestFit="1" customWidth="1"/>
    <col min="4" max="4" width="20.7265625" style="3" bestFit="1" customWidth="1"/>
    <col min="5" max="5" width="27" bestFit="1" customWidth="1"/>
    <col min="6" max="6" width="25.81640625" style="3" bestFit="1" customWidth="1"/>
    <col min="7" max="7" width="21.1796875" bestFit="1" customWidth="1"/>
    <col min="8" max="8" width="21.1796875" style="3" bestFit="1" customWidth="1"/>
    <col min="9" max="9" width="28.1796875" bestFit="1" customWidth="1"/>
    <col min="10" max="10" width="28.1796875" style="3" bestFit="1" customWidth="1"/>
  </cols>
  <sheetData>
    <row r="1" spans="1:10" ht="29" x14ac:dyDescent="0.35">
      <c r="A1" t="s">
        <v>0</v>
      </c>
      <c r="B1" t="s">
        <v>68</v>
      </c>
      <c r="C1" s="1" t="s">
        <v>69</v>
      </c>
      <c r="D1" s="2" t="s">
        <v>70</v>
      </c>
      <c r="E1" s="1" t="s">
        <v>71</v>
      </c>
      <c r="F1" s="2" t="s">
        <v>72</v>
      </c>
      <c r="G1" s="1" t="s">
        <v>73</v>
      </c>
      <c r="H1" s="2" t="s">
        <v>74</v>
      </c>
      <c r="I1" s="1" t="s">
        <v>75</v>
      </c>
      <c r="J1" s="2" t="s">
        <v>76</v>
      </c>
    </row>
    <row r="2" spans="1:10" x14ac:dyDescent="0.35">
      <c r="A2" t="s">
        <v>1</v>
      </c>
      <c r="B2">
        <v>725</v>
      </c>
      <c r="C2">
        <v>0</v>
      </c>
      <c r="D2" s="3">
        <f>Table4[[#This Row],['# with Full 
Medical Exemption]]/Table4[[#This Row],['# of Students]]</f>
        <v>0</v>
      </c>
      <c r="E2">
        <v>0</v>
      </c>
      <c r="F2" s="3">
        <f>Table4[[#This Row],['# UTD with 
Partial Medical Exemption]]/Table4[[#This Row],['# of Students]]</f>
        <v>0</v>
      </c>
      <c r="G2">
        <v>6</v>
      </c>
      <c r="H2" s="3">
        <f>Table4[[#This Row],['# with Full 
Religous Exemption]]/Table4[[#This Row],['# of Students]]</f>
        <v>8.2758620689655175E-3</v>
      </c>
      <c r="I2">
        <v>0</v>
      </c>
      <c r="J2" s="3">
        <f>Table4[[#This Row],['# UTD with 
Partial Religious Exemption]]/Table4[[#This Row],['# of Students]]</f>
        <v>0</v>
      </c>
    </row>
    <row r="3" spans="1:10" x14ac:dyDescent="0.35">
      <c r="A3" t="s">
        <v>2</v>
      </c>
      <c r="B3">
        <v>3028</v>
      </c>
      <c r="C3">
        <v>6</v>
      </c>
      <c r="D3" s="3">
        <f>Table4[[#This Row],['# with Full 
Medical Exemption]]/Table4[[#This Row],['# of Students]]</f>
        <v>1.9815059445178335E-3</v>
      </c>
      <c r="E3">
        <v>2</v>
      </c>
      <c r="F3" s="3">
        <f>Table4[[#This Row],['# UTD with 
Partial Medical Exemption]]/Table4[[#This Row],['# of Students]]</f>
        <v>6.6050198150594452E-4</v>
      </c>
      <c r="G3">
        <v>85</v>
      </c>
      <c r="H3" s="3">
        <f>Table4[[#This Row],['# with Full 
Religous Exemption]]/Table4[[#This Row],['# of Students]]</f>
        <v>2.8071334214002642E-2</v>
      </c>
      <c r="I3">
        <v>0</v>
      </c>
      <c r="J3" s="3">
        <f>Table4[[#This Row],['# UTD with 
Partial Religious Exemption]]/Table4[[#This Row],['# of Students]]</f>
        <v>0</v>
      </c>
    </row>
    <row r="4" spans="1:10" x14ac:dyDescent="0.35">
      <c r="A4" t="s">
        <v>3</v>
      </c>
      <c r="B4">
        <v>673</v>
      </c>
      <c r="C4">
        <v>0</v>
      </c>
      <c r="D4" s="3">
        <f>Table4[[#This Row],['# with Full 
Medical Exemption]]/Table4[[#This Row],['# of Students]]</f>
        <v>0</v>
      </c>
      <c r="E4">
        <v>0</v>
      </c>
      <c r="F4" s="3">
        <f>Table4[[#This Row],['# UTD with 
Partial Medical Exemption]]/Table4[[#This Row],['# of Students]]</f>
        <v>0</v>
      </c>
      <c r="G4">
        <v>12</v>
      </c>
      <c r="H4" s="3">
        <f>Table4[[#This Row],['# with Full 
Religous Exemption]]/Table4[[#This Row],['# of Students]]</f>
        <v>1.7830609212481426E-2</v>
      </c>
      <c r="I4">
        <v>0</v>
      </c>
      <c r="J4" s="3">
        <f>Table4[[#This Row],['# UTD with 
Partial Religious Exemption]]/Table4[[#This Row],['# of Students]]</f>
        <v>0</v>
      </c>
    </row>
    <row r="5" spans="1:10" x14ac:dyDescent="0.35">
      <c r="A5" t="s">
        <v>4</v>
      </c>
      <c r="B5">
        <v>175</v>
      </c>
      <c r="C5">
        <v>0</v>
      </c>
      <c r="D5" s="3">
        <f>Table4[[#This Row],['# with Full 
Medical Exemption]]/Table4[[#This Row],['# of Students]]</f>
        <v>0</v>
      </c>
      <c r="E5">
        <v>0</v>
      </c>
      <c r="F5" s="3">
        <f>Table4[[#This Row],['# UTD with 
Partial Medical Exemption]]/Table4[[#This Row],['# of Students]]</f>
        <v>0</v>
      </c>
      <c r="G5">
        <v>1</v>
      </c>
      <c r="H5" s="3">
        <f>Table4[[#This Row],['# with Full 
Religous Exemption]]/Table4[[#This Row],['# of Students]]</f>
        <v>5.7142857142857143E-3</v>
      </c>
      <c r="I5">
        <v>0</v>
      </c>
      <c r="J5" s="3">
        <f>Table4[[#This Row],['# UTD with 
Partial Religious Exemption]]/Table4[[#This Row],['# of Students]]</f>
        <v>0</v>
      </c>
    </row>
    <row r="6" spans="1:10" x14ac:dyDescent="0.35">
      <c r="A6" t="s">
        <v>5</v>
      </c>
      <c r="B6">
        <v>687</v>
      </c>
      <c r="C6">
        <v>4</v>
      </c>
      <c r="D6" s="3">
        <f>Table4[[#This Row],['# with Full 
Medical Exemption]]/Table4[[#This Row],['# of Students]]</f>
        <v>5.822416302765648E-3</v>
      </c>
      <c r="E6">
        <v>0</v>
      </c>
      <c r="F6" s="3">
        <f>Table4[[#This Row],['# UTD with 
Partial Medical Exemption]]/Table4[[#This Row],['# of Students]]</f>
        <v>0</v>
      </c>
      <c r="G6">
        <v>7</v>
      </c>
      <c r="H6" s="3">
        <f>Table4[[#This Row],['# with Full 
Religous Exemption]]/Table4[[#This Row],['# of Students]]</f>
        <v>1.0189228529839884E-2</v>
      </c>
      <c r="I6">
        <v>0</v>
      </c>
      <c r="J6" s="3">
        <f>Table4[[#This Row],['# UTD with 
Partial Religious Exemption]]/Table4[[#This Row],['# of Students]]</f>
        <v>0</v>
      </c>
    </row>
    <row r="7" spans="1:10" x14ac:dyDescent="0.35">
      <c r="A7" t="s">
        <v>6</v>
      </c>
      <c r="B7">
        <v>123</v>
      </c>
      <c r="C7">
        <v>0</v>
      </c>
      <c r="D7" s="3">
        <f>Table4[[#This Row],['# with Full 
Medical Exemption]]/Table4[[#This Row],['# of Students]]</f>
        <v>0</v>
      </c>
      <c r="E7">
        <v>0</v>
      </c>
      <c r="F7" s="3">
        <f>Table4[[#This Row],['# UTD with 
Partial Medical Exemption]]/Table4[[#This Row],['# of Students]]</f>
        <v>0</v>
      </c>
      <c r="G7">
        <v>0</v>
      </c>
      <c r="H7" s="3">
        <f>Table4[[#This Row],['# with Full 
Religous Exemption]]/Table4[[#This Row],['# of Students]]</f>
        <v>0</v>
      </c>
      <c r="I7">
        <v>0</v>
      </c>
      <c r="J7" s="3">
        <f>Table4[[#This Row],['# UTD with 
Partial Religious Exemption]]/Table4[[#This Row],['# of Students]]</f>
        <v>0</v>
      </c>
    </row>
    <row r="8" spans="1:10" x14ac:dyDescent="0.35">
      <c r="A8" t="s">
        <v>7</v>
      </c>
      <c r="B8">
        <v>251</v>
      </c>
      <c r="C8">
        <v>0</v>
      </c>
      <c r="D8" s="3">
        <f>Table4[[#This Row],['# with Full 
Medical Exemption]]/Table4[[#This Row],['# of Students]]</f>
        <v>0</v>
      </c>
      <c r="E8">
        <v>0</v>
      </c>
      <c r="F8" s="3">
        <f>Table4[[#This Row],['# UTD with 
Partial Medical Exemption]]/Table4[[#This Row],['# of Students]]</f>
        <v>0</v>
      </c>
      <c r="G8">
        <v>1</v>
      </c>
      <c r="H8" s="3">
        <f>Table4[[#This Row],['# with Full 
Religous Exemption]]/Table4[[#This Row],['# of Students]]</f>
        <v>3.9840637450199202E-3</v>
      </c>
      <c r="I8">
        <v>0</v>
      </c>
      <c r="J8" s="3">
        <f>Table4[[#This Row],['# UTD with 
Partial Religious Exemption]]/Table4[[#This Row],['# of Students]]</f>
        <v>0</v>
      </c>
    </row>
    <row r="9" spans="1:10" x14ac:dyDescent="0.35">
      <c r="A9" t="s">
        <v>8</v>
      </c>
      <c r="B9">
        <v>1358</v>
      </c>
      <c r="C9">
        <v>0</v>
      </c>
      <c r="D9" s="3">
        <f>Table4[[#This Row],['# with Full 
Medical Exemption]]/Table4[[#This Row],['# of Students]]</f>
        <v>0</v>
      </c>
      <c r="E9">
        <v>0</v>
      </c>
      <c r="F9" s="3">
        <f>Table4[[#This Row],['# UTD with 
Partial Medical Exemption]]/Table4[[#This Row],['# of Students]]</f>
        <v>0</v>
      </c>
      <c r="G9">
        <v>13</v>
      </c>
      <c r="H9" s="3">
        <f>Table4[[#This Row],['# with Full 
Religous Exemption]]/Table4[[#This Row],['# of Students]]</f>
        <v>9.5729013254786458E-3</v>
      </c>
      <c r="I9">
        <v>1</v>
      </c>
      <c r="J9" s="3">
        <f>Table4[[#This Row],['# UTD with 
Partial Religious Exemption]]/Table4[[#This Row],['# of Students]]</f>
        <v>7.3637702503681884E-4</v>
      </c>
    </row>
    <row r="10" spans="1:10" x14ac:dyDescent="0.35">
      <c r="A10" t="s">
        <v>9</v>
      </c>
      <c r="B10">
        <v>343</v>
      </c>
      <c r="C10">
        <v>0</v>
      </c>
      <c r="D10" s="3">
        <f>Table4[[#This Row],['# with Full 
Medical Exemption]]/Table4[[#This Row],['# of Students]]</f>
        <v>0</v>
      </c>
      <c r="E10">
        <v>0</v>
      </c>
      <c r="F10" s="3">
        <f>Table4[[#This Row],['# UTD with 
Partial Medical Exemption]]/Table4[[#This Row],['# of Students]]</f>
        <v>0</v>
      </c>
      <c r="G10">
        <v>0</v>
      </c>
      <c r="H10" s="3">
        <f>Table4[[#This Row],['# with Full 
Religous Exemption]]/Table4[[#This Row],['# of Students]]</f>
        <v>0</v>
      </c>
      <c r="I10">
        <v>0</v>
      </c>
      <c r="J10" s="3">
        <f>Table4[[#This Row],['# UTD with 
Partial Religious Exemption]]/Table4[[#This Row],['# of Students]]</f>
        <v>0</v>
      </c>
    </row>
    <row r="11" spans="1:10" x14ac:dyDescent="0.35">
      <c r="A11" t="s">
        <v>10</v>
      </c>
      <c r="B11">
        <v>351</v>
      </c>
      <c r="C11">
        <v>0</v>
      </c>
      <c r="D11" s="3">
        <f>Table4[[#This Row],['# with Full 
Medical Exemption]]/Table4[[#This Row],['# of Students]]</f>
        <v>0</v>
      </c>
      <c r="E11">
        <v>1</v>
      </c>
      <c r="F11" s="3">
        <f>Table4[[#This Row],['# UTD with 
Partial Medical Exemption]]/Table4[[#This Row],['# of Students]]</f>
        <v>2.8490028490028491E-3</v>
      </c>
      <c r="G11">
        <v>5</v>
      </c>
      <c r="H11" s="3">
        <f>Table4[[#This Row],['# with Full 
Religous Exemption]]/Table4[[#This Row],['# of Students]]</f>
        <v>1.4245014245014245E-2</v>
      </c>
      <c r="I11">
        <v>0</v>
      </c>
      <c r="J11" s="3">
        <f>Table4[[#This Row],['# UTD with 
Partial Religious Exemption]]/Table4[[#This Row],['# of Students]]</f>
        <v>0</v>
      </c>
    </row>
    <row r="12" spans="1:10" x14ac:dyDescent="0.35">
      <c r="A12" t="s">
        <v>11</v>
      </c>
      <c r="B12">
        <v>592</v>
      </c>
      <c r="C12">
        <v>1</v>
      </c>
      <c r="D12" s="3">
        <f>Table4[[#This Row],['# with Full 
Medical Exemption]]/Table4[[#This Row],['# of Students]]</f>
        <v>1.6891891891891893E-3</v>
      </c>
      <c r="E12">
        <v>0</v>
      </c>
      <c r="F12" s="3">
        <f>Table4[[#This Row],['# UTD with 
Partial Medical Exemption]]/Table4[[#This Row],['# of Students]]</f>
        <v>0</v>
      </c>
      <c r="G12">
        <v>3</v>
      </c>
      <c r="H12" s="3">
        <f>Table4[[#This Row],['# with Full 
Religous Exemption]]/Table4[[#This Row],['# of Students]]</f>
        <v>5.0675675675675678E-3</v>
      </c>
      <c r="I12">
        <v>0</v>
      </c>
      <c r="J12" s="3">
        <f>Table4[[#This Row],['# UTD with 
Partial Religious Exemption]]/Table4[[#This Row],['# of Students]]</f>
        <v>0</v>
      </c>
    </row>
    <row r="13" spans="1:10" x14ac:dyDescent="0.35">
      <c r="A13" t="s">
        <v>12</v>
      </c>
      <c r="B13">
        <v>125</v>
      </c>
      <c r="C13">
        <v>1</v>
      </c>
      <c r="D13" s="3">
        <f>Table4[[#This Row],['# with Full 
Medical Exemption]]/Table4[[#This Row],['# of Students]]</f>
        <v>8.0000000000000002E-3</v>
      </c>
      <c r="E13">
        <v>0</v>
      </c>
      <c r="F13" s="3">
        <f>Table4[[#This Row],['# UTD with 
Partial Medical Exemption]]/Table4[[#This Row],['# of Students]]</f>
        <v>0</v>
      </c>
      <c r="G13">
        <v>0</v>
      </c>
      <c r="H13" s="3">
        <f>Table4[[#This Row],['# with Full 
Religous Exemption]]/Table4[[#This Row],['# of Students]]</f>
        <v>0</v>
      </c>
      <c r="I13">
        <v>0</v>
      </c>
      <c r="J13" s="3">
        <f>Table4[[#This Row],['# UTD with 
Partial Religious Exemption]]/Table4[[#This Row],['# of Students]]</f>
        <v>0</v>
      </c>
    </row>
    <row r="14" spans="1:10" x14ac:dyDescent="0.35">
      <c r="A14" t="s">
        <v>13</v>
      </c>
      <c r="B14">
        <v>282</v>
      </c>
      <c r="C14">
        <v>0</v>
      </c>
      <c r="D14" s="3">
        <f>Table4[[#This Row],['# with Full 
Medical Exemption]]/Table4[[#This Row],['# of Students]]</f>
        <v>0</v>
      </c>
      <c r="E14">
        <v>0</v>
      </c>
      <c r="F14" s="3">
        <f>Table4[[#This Row],['# UTD with 
Partial Medical Exemption]]/Table4[[#This Row],['# of Students]]</f>
        <v>0</v>
      </c>
      <c r="G14">
        <v>1</v>
      </c>
      <c r="H14" s="3">
        <f>Table4[[#This Row],['# with Full 
Religous Exemption]]/Table4[[#This Row],['# of Students]]</f>
        <v>3.5460992907801418E-3</v>
      </c>
      <c r="I14">
        <v>0</v>
      </c>
      <c r="J14" s="3">
        <f>Table4[[#This Row],['# UTD with 
Partial Religious Exemption]]/Table4[[#This Row],['# of Students]]</f>
        <v>0</v>
      </c>
    </row>
    <row r="15" spans="1:10" x14ac:dyDescent="0.35">
      <c r="A15" t="s">
        <v>14</v>
      </c>
      <c r="B15">
        <v>159</v>
      </c>
      <c r="C15">
        <v>0</v>
      </c>
      <c r="D15" s="3">
        <f>Table4[[#This Row],['# with Full 
Medical Exemption]]/Table4[[#This Row],['# of Students]]</f>
        <v>0</v>
      </c>
      <c r="E15">
        <v>0</v>
      </c>
      <c r="F15" s="3">
        <f>Table4[[#This Row],['# UTD with 
Partial Medical Exemption]]/Table4[[#This Row],['# of Students]]</f>
        <v>0</v>
      </c>
      <c r="G15">
        <v>1</v>
      </c>
      <c r="H15" s="3">
        <f>Table4[[#This Row],['# with Full 
Religous Exemption]]/Table4[[#This Row],['# of Students]]</f>
        <v>6.2893081761006293E-3</v>
      </c>
      <c r="I15">
        <v>0</v>
      </c>
      <c r="J15" s="3">
        <f>Table4[[#This Row],['# UTD with 
Partial Religious Exemption]]/Table4[[#This Row],['# of Students]]</f>
        <v>0</v>
      </c>
    </row>
    <row r="16" spans="1:10" x14ac:dyDescent="0.35">
      <c r="A16" t="s">
        <v>15</v>
      </c>
      <c r="B16">
        <v>188</v>
      </c>
      <c r="C16">
        <v>0</v>
      </c>
      <c r="D16" s="3">
        <f>Table4[[#This Row],['# with Full 
Medical Exemption]]/Table4[[#This Row],['# of Students]]</f>
        <v>0</v>
      </c>
      <c r="E16">
        <v>0</v>
      </c>
      <c r="F16" s="3">
        <f>Table4[[#This Row],['# UTD with 
Partial Medical Exemption]]/Table4[[#This Row],['# of Students]]</f>
        <v>0</v>
      </c>
      <c r="G16">
        <v>3</v>
      </c>
      <c r="H16" s="3">
        <f>Table4[[#This Row],['# with Full 
Religous Exemption]]/Table4[[#This Row],['# of Students]]</f>
        <v>1.5957446808510637E-2</v>
      </c>
      <c r="I16">
        <v>0</v>
      </c>
      <c r="J16" s="3">
        <f>Table4[[#This Row],['# UTD with 
Partial Religious Exemption]]/Table4[[#This Row],['# of Students]]</f>
        <v>0</v>
      </c>
    </row>
    <row r="17" spans="1:10" x14ac:dyDescent="0.35">
      <c r="A17" t="s">
        <v>16</v>
      </c>
      <c r="B17">
        <v>874</v>
      </c>
      <c r="C17">
        <v>1</v>
      </c>
      <c r="D17" s="3">
        <f>Table4[[#This Row],['# with Full 
Medical Exemption]]/Table4[[#This Row],['# of Students]]</f>
        <v>1.1441647597254005E-3</v>
      </c>
      <c r="E17">
        <v>0</v>
      </c>
      <c r="F17" s="3">
        <f>Table4[[#This Row],['# UTD with 
Partial Medical Exemption]]/Table4[[#This Row],['# of Students]]</f>
        <v>0</v>
      </c>
      <c r="G17">
        <v>12</v>
      </c>
      <c r="H17" s="3">
        <f>Table4[[#This Row],['# with Full 
Religous Exemption]]/Table4[[#This Row],['# of Students]]</f>
        <v>1.3729977116704805E-2</v>
      </c>
      <c r="I17">
        <v>0</v>
      </c>
      <c r="J17" s="3">
        <f>Table4[[#This Row],['# UTD with 
Partial Religious Exemption]]/Table4[[#This Row],['# of Students]]</f>
        <v>0</v>
      </c>
    </row>
    <row r="18" spans="1:10" x14ac:dyDescent="0.35">
      <c r="A18" t="s">
        <v>17</v>
      </c>
      <c r="B18">
        <v>662</v>
      </c>
      <c r="C18">
        <v>0</v>
      </c>
      <c r="D18" s="3">
        <f>Table4[[#This Row],['# with Full 
Medical Exemption]]/Table4[[#This Row],['# of Students]]</f>
        <v>0</v>
      </c>
      <c r="E18">
        <v>0</v>
      </c>
      <c r="F18" s="3">
        <f>Table4[[#This Row],['# UTD with 
Partial Medical Exemption]]/Table4[[#This Row],['# of Students]]</f>
        <v>0</v>
      </c>
      <c r="G18">
        <v>4</v>
      </c>
      <c r="H18" s="3">
        <f>Table4[[#This Row],['# with Full 
Religous Exemption]]/Table4[[#This Row],['# of Students]]</f>
        <v>6.0422960725075529E-3</v>
      </c>
      <c r="I18">
        <v>0</v>
      </c>
      <c r="J18" s="3">
        <f>Table4[[#This Row],['# UTD with 
Partial Religious Exemption]]/Table4[[#This Row],['# of Students]]</f>
        <v>0</v>
      </c>
    </row>
    <row r="19" spans="1:10" x14ac:dyDescent="0.35">
      <c r="A19" t="s">
        <v>18</v>
      </c>
      <c r="B19">
        <v>91</v>
      </c>
      <c r="C19">
        <v>0</v>
      </c>
      <c r="D19" s="3">
        <f>Table4[[#This Row],['# with Full 
Medical Exemption]]/Table4[[#This Row],['# of Students]]</f>
        <v>0</v>
      </c>
      <c r="E19">
        <v>0</v>
      </c>
      <c r="F19" s="3">
        <f>Table4[[#This Row],['# UTD with 
Partial Medical Exemption]]/Table4[[#This Row],['# of Students]]</f>
        <v>0</v>
      </c>
      <c r="G19">
        <v>1</v>
      </c>
      <c r="H19" s="3">
        <f>Table4[[#This Row],['# with Full 
Religous Exemption]]/Table4[[#This Row],['# of Students]]</f>
        <v>1.098901098901099E-2</v>
      </c>
      <c r="I19">
        <v>0</v>
      </c>
      <c r="J19" s="3">
        <f>Table4[[#This Row],['# UTD with 
Partial Religious Exemption]]/Table4[[#This Row],['# of Students]]</f>
        <v>0</v>
      </c>
    </row>
    <row r="20" spans="1:10" x14ac:dyDescent="0.35">
      <c r="A20" t="s">
        <v>19</v>
      </c>
      <c r="B20">
        <v>75</v>
      </c>
      <c r="C20">
        <v>0</v>
      </c>
      <c r="D20" s="3">
        <f>Table4[[#This Row],['# with Full 
Medical Exemption]]/Table4[[#This Row],['# of Students]]</f>
        <v>0</v>
      </c>
      <c r="E20">
        <v>0</v>
      </c>
      <c r="F20" s="3">
        <f>Table4[[#This Row],['# UTD with 
Partial Medical Exemption]]/Table4[[#This Row],['# of Students]]</f>
        <v>0</v>
      </c>
      <c r="G20">
        <v>0</v>
      </c>
      <c r="H20" s="3">
        <f>Table4[[#This Row],['# with Full 
Religous Exemption]]/Table4[[#This Row],['# of Students]]</f>
        <v>0</v>
      </c>
      <c r="I20">
        <v>0</v>
      </c>
      <c r="J20" s="3">
        <f>Table4[[#This Row],['# UTD with 
Partial Religious Exemption]]/Table4[[#This Row],['# of Students]]</f>
        <v>0</v>
      </c>
    </row>
    <row r="21" spans="1:10" x14ac:dyDescent="0.35">
      <c r="A21" t="s">
        <v>20</v>
      </c>
      <c r="B21">
        <v>509</v>
      </c>
      <c r="C21">
        <v>1</v>
      </c>
      <c r="D21" s="3">
        <f>Table4[[#This Row],['# with Full 
Medical Exemption]]/Table4[[#This Row],['# of Students]]</f>
        <v>1.9646365422396855E-3</v>
      </c>
      <c r="E21">
        <v>0</v>
      </c>
      <c r="F21" s="3">
        <f>Table4[[#This Row],['# UTD with 
Partial Medical Exemption]]/Table4[[#This Row],['# of Students]]</f>
        <v>0</v>
      </c>
      <c r="G21">
        <v>6</v>
      </c>
      <c r="H21" s="3">
        <f>Table4[[#This Row],['# with Full 
Religous Exemption]]/Table4[[#This Row],['# of Students]]</f>
        <v>1.1787819253438114E-2</v>
      </c>
      <c r="I21">
        <v>0</v>
      </c>
      <c r="J21" s="3">
        <f>Table4[[#This Row],['# UTD with 
Partial Religious Exemption]]/Table4[[#This Row],['# of Students]]</f>
        <v>0</v>
      </c>
    </row>
    <row r="22" spans="1:10" x14ac:dyDescent="0.35">
      <c r="A22" t="s">
        <v>21</v>
      </c>
      <c r="B22">
        <v>198</v>
      </c>
      <c r="C22">
        <v>1</v>
      </c>
      <c r="D22" s="3">
        <f>Table4[[#This Row],['# with Full 
Medical Exemption]]/Table4[[#This Row],['# of Students]]</f>
        <v>5.0505050505050509E-3</v>
      </c>
      <c r="E22">
        <v>0</v>
      </c>
      <c r="F22" s="3">
        <f>Table4[[#This Row],['# UTD with 
Partial Medical Exemption]]/Table4[[#This Row],['# of Students]]</f>
        <v>0</v>
      </c>
      <c r="G22">
        <v>2</v>
      </c>
      <c r="H22" s="3">
        <f>Table4[[#This Row],['# with Full 
Religous Exemption]]/Table4[[#This Row],['# of Students]]</f>
        <v>1.0101010101010102E-2</v>
      </c>
      <c r="I22">
        <v>0</v>
      </c>
      <c r="J22" s="3">
        <f>Table4[[#This Row],['# UTD with 
Partial Religious Exemption]]/Table4[[#This Row],['# of Students]]</f>
        <v>0</v>
      </c>
    </row>
    <row r="23" spans="1:10" x14ac:dyDescent="0.35">
      <c r="A23" t="s">
        <v>22</v>
      </c>
      <c r="B23">
        <v>1019</v>
      </c>
      <c r="C23">
        <v>2</v>
      </c>
      <c r="D23" s="3">
        <f>Table4[[#This Row],['# with Full 
Medical Exemption]]/Table4[[#This Row],['# of Students]]</f>
        <v>1.9627085377821392E-3</v>
      </c>
      <c r="E23">
        <v>1</v>
      </c>
      <c r="F23" s="3">
        <f>Table4[[#This Row],['# UTD with 
Partial Medical Exemption]]/Table4[[#This Row],['# of Students]]</f>
        <v>9.813542688910696E-4</v>
      </c>
      <c r="G23">
        <v>20</v>
      </c>
      <c r="H23" s="3">
        <f>Table4[[#This Row],['# with Full 
Religous Exemption]]/Table4[[#This Row],['# of Students]]</f>
        <v>1.9627085377821395E-2</v>
      </c>
      <c r="I23">
        <v>0</v>
      </c>
      <c r="J23" s="3">
        <f>Table4[[#This Row],['# UTD with 
Partial Religious Exemption]]/Table4[[#This Row],['# of Students]]</f>
        <v>0</v>
      </c>
    </row>
    <row r="24" spans="1:10" x14ac:dyDescent="0.35">
      <c r="A24" t="s">
        <v>23</v>
      </c>
      <c r="B24">
        <v>553</v>
      </c>
      <c r="C24">
        <v>0</v>
      </c>
      <c r="D24" s="3">
        <f>Table4[[#This Row],['# with Full 
Medical Exemption]]/Table4[[#This Row],['# of Students]]</f>
        <v>0</v>
      </c>
      <c r="E24">
        <v>1</v>
      </c>
      <c r="F24" s="3">
        <f>Table4[[#This Row],['# UTD with 
Partial Medical Exemption]]/Table4[[#This Row],['# of Students]]</f>
        <v>1.8083182640144665E-3</v>
      </c>
      <c r="G24">
        <v>2</v>
      </c>
      <c r="H24" s="3">
        <f>Table4[[#This Row],['# with Full 
Religous Exemption]]/Table4[[#This Row],['# of Students]]</f>
        <v>3.616636528028933E-3</v>
      </c>
      <c r="I24">
        <v>0</v>
      </c>
      <c r="J24" s="3">
        <f>Table4[[#This Row],['# UTD with 
Partial Religious Exemption]]/Table4[[#This Row],['# of Students]]</f>
        <v>0</v>
      </c>
    </row>
    <row r="25" spans="1:10" x14ac:dyDescent="0.35">
      <c r="A25" t="s">
        <v>24</v>
      </c>
      <c r="B25">
        <v>363</v>
      </c>
      <c r="C25">
        <v>0</v>
      </c>
      <c r="D25" s="3">
        <f>Table4[[#This Row],['# with Full 
Medical Exemption]]/Table4[[#This Row],['# of Students]]</f>
        <v>0</v>
      </c>
      <c r="E25">
        <v>0</v>
      </c>
      <c r="F25" s="3">
        <f>Table4[[#This Row],['# UTD with 
Partial Medical Exemption]]/Table4[[#This Row],['# of Students]]</f>
        <v>0</v>
      </c>
      <c r="G25">
        <v>1</v>
      </c>
      <c r="H25" s="3">
        <f>Table4[[#This Row],['# with Full 
Religous Exemption]]/Table4[[#This Row],['# of Students]]</f>
        <v>2.7548209366391185E-3</v>
      </c>
      <c r="I25">
        <v>0</v>
      </c>
      <c r="J25" s="3">
        <f>Table4[[#This Row],['# UTD with 
Partial Religious Exemption]]/Table4[[#This Row],['# of Students]]</f>
        <v>0</v>
      </c>
    </row>
    <row r="26" spans="1:10" x14ac:dyDescent="0.35">
      <c r="A26" t="s">
        <v>25</v>
      </c>
      <c r="B26">
        <v>1040</v>
      </c>
      <c r="C26">
        <v>0</v>
      </c>
      <c r="D26" s="3">
        <f>Table4[[#This Row],['# with Full 
Medical Exemption]]/Table4[[#This Row],['# of Students]]</f>
        <v>0</v>
      </c>
      <c r="E26">
        <v>0</v>
      </c>
      <c r="F26" s="3">
        <f>Table4[[#This Row],['# UTD with 
Partial Medical Exemption]]/Table4[[#This Row],['# of Students]]</f>
        <v>0</v>
      </c>
      <c r="G26">
        <v>8</v>
      </c>
      <c r="H26" s="3">
        <f>Table4[[#This Row],['# with Full 
Religous Exemption]]/Table4[[#This Row],['# of Students]]</f>
        <v>7.6923076923076927E-3</v>
      </c>
      <c r="I26">
        <v>0</v>
      </c>
      <c r="J26" s="3">
        <f>Table4[[#This Row],['# UTD with 
Partial Religious Exemption]]/Table4[[#This Row],['# of Students]]</f>
        <v>0</v>
      </c>
    </row>
    <row r="27" spans="1:10" x14ac:dyDescent="0.35">
      <c r="A27" t="s">
        <v>26</v>
      </c>
      <c r="B27">
        <v>1139</v>
      </c>
      <c r="C27">
        <v>0</v>
      </c>
      <c r="D27" s="3">
        <f>Table4[[#This Row],['# with Full 
Medical Exemption]]/Table4[[#This Row],['# of Students]]</f>
        <v>0</v>
      </c>
      <c r="E27">
        <v>0</v>
      </c>
      <c r="F27" s="3">
        <f>Table4[[#This Row],['# UTD with 
Partial Medical Exemption]]/Table4[[#This Row],['# of Students]]</f>
        <v>0</v>
      </c>
      <c r="G27">
        <v>11</v>
      </c>
      <c r="H27" s="3">
        <f>Table4[[#This Row],['# with Full 
Religous Exemption]]/Table4[[#This Row],['# of Students]]</f>
        <v>9.6575943810359964E-3</v>
      </c>
      <c r="I27">
        <v>0</v>
      </c>
      <c r="J27" s="3">
        <f>Table4[[#This Row],['# UTD with 
Partial Religious Exemption]]/Table4[[#This Row],['# of Students]]</f>
        <v>0</v>
      </c>
    </row>
    <row r="28" spans="1:10" x14ac:dyDescent="0.35">
      <c r="A28" t="s">
        <v>27</v>
      </c>
      <c r="B28">
        <v>398</v>
      </c>
      <c r="C28">
        <v>1</v>
      </c>
      <c r="D28" s="3">
        <f>Table4[[#This Row],['# with Full 
Medical Exemption]]/Table4[[#This Row],['# of Students]]</f>
        <v>2.5125628140703518E-3</v>
      </c>
      <c r="E28">
        <v>0</v>
      </c>
      <c r="F28" s="3">
        <f>Table4[[#This Row],['# UTD with 
Partial Medical Exemption]]/Table4[[#This Row],['# of Students]]</f>
        <v>0</v>
      </c>
      <c r="G28">
        <v>2</v>
      </c>
      <c r="H28" s="3">
        <f>Table4[[#This Row],['# with Full 
Religous Exemption]]/Table4[[#This Row],['# of Students]]</f>
        <v>5.0251256281407036E-3</v>
      </c>
      <c r="I28">
        <v>0</v>
      </c>
      <c r="J28" s="3">
        <f>Table4[[#This Row],['# UTD with 
Partial Religious Exemption]]/Table4[[#This Row],['# of Students]]</f>
        <v>0</v>
      </c>
    </row>
    <row r="29" spans="1:10" x14ac:dyDescent="0.35">
      <c r="A29" t="s">
        <v>28</v>
      </c>
      <c r="B29">
        <v>1222</v>
      </c>
      <c r="C29">
        <v>0</v>
      </c>
      <c r="D29" s="3">
        <f>Table4[[#This Row],['# with Full 
Medical Exemption]]/Table4[[#This Row],['# of Students]]</f>
        <v>0</v>
      </c>
      <c r="E29">
        <v>0</v>
      </c>
      <c r="F29" s="3">
        <f>Table4[[#This Row],['# UTD with 
Partial Medical Exemption]]/Table4[[#This Row],['# of Students]]</f>
        <v>0</v>
      </c>
      <c r="G29">
        <v>12</v>
      </c>
      <c r="H29" s="3">
        <f>Table4[[#This Row],['# with Full 
Religous Exemption]]/Table4[[#This Row],['# of Students]]</f>
        <v>9.8199672667757774E-3</v>
      </c>
      <c r="I29">
        <v>0</v>
      </c>
      <c r="J29" s="3">
        <f>Table4[[#This Row],['# UTD with 
Partial Religious Exemption]]/Table4[[#This Row],['# of Students]]</f>
        <v>0</v>
      </c>
    </row>
    <row r="30" spans="1:10" x14ac:dyDescent="0.35">
      <c r="A30" t="s">
        <v>29</v>
      </c>
      <c r="B30">
        <v>179</v>
      </c>
      <c r="C30">
        <v>0</v>
      </c>
      <c r="D30" s="3">
        <f>Table4[[#This Row],['# with Full 
Medical Exemption]]/Table4[[#This Row],['# of Students]]</f>
        <v>0</v>
      </c>
      <c r="E30">
        <v>0</v>
      </c>
      <c r="F30" s="3">
        <f>Table4[[#This Row],['# UTD with 
Partial Medical Exemption]]/Table4[[#This Row],['# of Students]]</f>
        <v>0</v>
      </c>
      <c r="G30">
        <v>1</v>
      </c>
      <c r="H30" s="3">
        <f>Table4[[#This Row],['# with Full 
Religous Exemption]]/Table4[[#This Row],['# of Students]]</f>
        <v>5.5865921787709499E-3</v>
      </c>
      <c r="I30">
        <v>0</v>
      </c>
      <c r="J30" s="3">
        <f>Table4[[#This Row],['# UTD with 
Partial Religious Exemption]]/Table4[[#This Row],['# of Students]]</f>
        <v>0</v>
      </c>
    </row>
    <row r="31" spans="1:10" x14ac:dyDescent="0.35">
      <c r="A31" t="s">
        <v>30</v>
      </c>
      <c r="B31">
        <v>471</v>
      </c>
      <c r="C31">
        <v>0</v>
      </c>
      <c r="D31" s="3">
        <f>Table4[[#This Row],['# with Full 
Medical Exemption]]/Table4[[#This Row],['# of Students]]</f>
        <v>0</v>
      </c>
      <c r="E31">
        <v>0</v>
      </c>
      <c r="F31" s="3">
        <f>Table4[[#This Row],['# UTD with 
Partial Medical Exemption]]/Table4[[#This Row],['# of Students]]</f>
        <v>0</v>
      </c>
      <c r="G31">
        <v>3</v>
      </c>
      <c r="H31" s="3">
        <f>Table4[[#This Row],['# with Full 
Religous Exemption]]/Table4[[#This Row],['# of Students]]</f>
        <v>6.369426751592357E-3</v>
      </c>
      <c r="I31">
        <v>0</v>
      </c>
      <c r="J31" s="3">
        <f>Table4[[#This Row],['# UTD with 
Partial Religious Exemption]]/Table4[[#This Row],['# of Students]]</f>
        <v>0</v>
      </c>
    </row>
    <row r="32" spans="1:10" x14ac:dyDescent="0.35">
      <c r="A32" t="s">
        <v>31</v>
      </c>
      <c r="B32">
        <v>287</v>
      </c>
      <c r="C32">
        <v>0</v>
      </c>
      <c r="D32" s="3">
        <f>Table4[[#This Row],['# with Full 
Medical Exemption]]/Table4[[#This Row],['# of Students]]</f>
        <v>0</v>
      </c>
      <c r="E32">
        <v>0</v>
      </c>
      <c r="F32" s="3">
        <f>Table4[[#This Row],['# UTD with 
Partial Medical Exemption]]/Table4[[#This Row],['# of Students]]</f>
        <v>0</v>
      </c>
      <c r="G32">
        <v>2</v>
      </c>
      <c r="H32" s="3">
        <f>Table4[[#This Row],['# with Full 
Religous Exemption]]/Table4[[#This Row],['# of Students]]</f>
        <v>6.9686411149825784E-3</v>
      </c>
      <c r="I32">
        <v>0</v>
      </c>
      <c r="J32" s="3">
        <f>Table4[[#This Row],['# UTD with 
Partial Religious Exemption]]/Table4[[#This Row],['# of Students]]</f>
        <v>0</v>
      </c>
    </row>
    <row r="33" spans="1:10" x14ac:dyDescent="0.35">
      <c r="A33" t="s">
        <v>32</v>
      </c>
      <c r="B33">
        <v>63</v>
      </c>
      <c r="C33">
        <v>0</v>
      </c>
      <c r="D33" s="3">
        <f>Table4[[#This Row],['# with Full 
Medical Exemption]]/Table4[[#This Row],['# of Students]]</f>
        <v>0</v>
      </c>
      <c r="E33">
        <v>0</v>
      </c>
      <c r="F33" s="3">
        <f>Table4[[#This Row],['# UTD with 
Partial Medical Exemption]]/Table4[[#This Row],['# of Students]]</f>
        <v>0</v>
      </c>
      <c r="G33">
        <v>0</v>
      </c>
      <c r="H33" s="3">
        <f>Table4[[#This Row],['# with Full 
Religous Exemption]]/Table4[[#This Row],['# of Students]]</f>
        <v>0</v>
      </c>
      <c r="I33">
        <v>0</v>
      </c>
      <c r="J33" s="3">
        <f>Table4[[#This Row],['# UTD with 
Partial Religious Exemption]]/Table4[[#This Row],['# of Students]]</f>
        <v>0</v>
      </c>
    </row>
    <row r="34" spans="1:10" x14ac:dyDescent="0.35">
      <c r="A34" t="s">
        <v>33</v>
      </c>
      <c r="B34">
        <v>156</v>
      </c>
      <c r="C34">
        <v>1</v>
      </c>
      <c r="D34" s="3">
        <f>Table4[[#This Row],['# with Full 
Medical Exemption]]/Table4[[#This Row],['# of Students]]</f>
        <v>6.41025641025641E-3</v>
      </c>
      <c r="E34">
        <v>0</v>
      </c>
      <c r="F34" s="3">
        <f>Table4[[#This Row],['# UTD with 
Partial Medical Exemption]]/Table4[[#This Row],['# of Students]]</f>
        <v>0</v>
      </c>
      <c r="G34">
        <v>0</v>
      </c>
      <c r="H34" s="3">
        <f>Table4[[#This Row],['# with Full 
Religous Exemption]]/Table4[[#This Row],['# of Students]]</f>
        <v>0</v>
      </c>
      <c r="I34">
        <v>0</v>
      </c>
      <c r="J34" s="3">
        <f>Table4[[#This Row],['# UTD with 
Partial Religious Exemption]]/Table4[[#This Row],['# of Students]]</f>
        <v>0</v>
      </c>
    </row>
    <row r="35" spans="1:10" x14ac:dyDescent="0.35">
      <c r="A35" t="s">
        <v>34</v>
      </c>
      <c r="B35">
        <v>206</v>
      </c>
      <c r="C35">
        <v>0</v>
      </c>
      <c r="D35" s="3">
        <f>Table4[[#This Row],['# with Full 
Medical Exemption]]/Table4[[#This Row],['# of Students]]</f>
        <v>0</v>
      </c>
      <c r="E35">
        <v>0</v>
      </c>
      <c r="F35" s="3">
        <f>Table4[[#This Row],['# UTD with 
Partial Medical Exemption]]/Table4[[#This Row],['# of Students]]</f>
        <v>0</v>
      </c>
      <c r="G35">
        <v>2</v>
      </c>
      <c r="H35" s="3">
        <f>Table4[[#This Row],['# with Full 
Religous Exemption]]/Table4[[#This Row],['# of Students]]</f>
        <v>9.7087378640776691E-3</v>
      </c>
      <c r="I35">
        <v>0</v>
      </c>
      <c r="J35" s="3">
        <f>Table4[[#This Row],['# UTD with 
Partial Religious Exemption]]/Table4[[#This Row],['# of Students]]</f>
        <v>0</v>
      </c>
    </row>
    <row r="36" spans="1:10" x14ac:dyDescent="0.35">
      <c r="A36" t="s">
        <v>35</v>
      </c>
      <c r="B36">
        <v>1310</v>
      </c>
      <c r="C36">
        <v>4</v>
      </c>
      <c r="D36" s="3">
        <f>Table4[[#This Row],['# with Full 
Medical Exemption]]/Table4[[#This Row],['# of Students]]</f>
        <v>3.0534351145038168E-3</v>
      </c>
      <c r="E36">
        <v>0</v>
      </c>
      <c r="F36" s="3">
        <f>Table4[[#This Row],['# UTD with 
Partial Medical Exemption]]/Table4[[#This Row],['# of Students]]</f>
        <v>0</v>
      </c>
      <c r="G36">
        <v>6</v>
      </c>
      <c r="H36" s="3">
        <f>Table4[[#This Row],['# with Full 
Religous Exemption]]/Table4[[#This Row],['# of Students]]</f>
        <v>4.5801526717557254E-3</v>
      </c>
      <c r="I36">
        <v>1</v>
      </c>
      <c r="J36" s="3">
        <f>Table4[[#This Row],['# UTD with 
Partial Religious Exemption]]/Table4[[#This Row],['# of Students]]</f>
        <v>7.6335877862595419E-4</v>
      </c>
    </row>
    <row r="37" spans="1:10" x14ac:dyDescent="0.35">
      <c r="A37" t="s">
        <v>36</v>
      </c>
      <c r="B37">
        <v>556</v>
      </c>
      <c r="C37">
        <v>0</v>
      </c>
      <c r="D37" s="3">
        <f>Table4[[#This Row],['# with Full 
Medical Exemption]]/Table4[[#This Row],['# of Students]]</f>
        <v>0</v>
      </c>
      <c r="E37">
        <v>0</v>
      </c>
      <c r="F37" s="3">
        <f>Table4[[#This Row],['# UTD with 
Partial Medical Exemption]]/Table4[[#This Row],['# of Students]]</f>
        <v>0</v>
      </c>
      <c r="G37">
        <v>10</v>
      </c>
      <c r="H37" s="3">
        <f>Table4[[#This Row],['# with Full 
Religous Exemption]]/Table4[[#This Row],['# of Students]]</f>
        <v>1.7985611510791366E-2</v>
      </c>
      <c r="I37">
        <v>0</v>
      </c>
      <c r="J37" s="3">
        <f>Table4[[#This Row],['# UTD with 
Partial Religious Exemption]]/Table4[[#This Row],['# of Students]]</f>
        <v>0</v>
      </c>
    </row>
    <row r="38" spans="1:10" x14ac:dyDescent="0.35">
      <c r="A38" t="s">
        <v>37</v>
      </c>
      <c r="B38">
        <v>7664</v>
      </c>
      <c r="C38">
        <v>1</v>
      </c>
      <c r="D38" s="3">
        <f>Table4[[#This Row],['# with Full 
Medical Exemption]]/Table4[[#This Row],['# of Students]]</f>
        <v>1.3048016701461377E-4</v>
      </c>
      <c r="E38">
        <v>2</v>
      </c>
      <c r="F38" s="3">
        <f>Table4[[#This Row],['# UTD with 
Partial Medical Exemption]]/Table4[[#This Row],['# of Students]]</f>
        <v>2.6096033402922753E-4</v>
      </c>
      <c r="G38">
        <v>63</v>
      </c>
      <c r="H38" s="3">
        <f>Table4[[#This Row],['# with Full 
Religous Exemption]]/Table4[[#This Row],['# of Students]]</f>
        <v>8.2202505219206683E-3</v>
      </c>
      <c r="I38">
        <v>1</v>
      </c>
      <c r="J38" s="3">
        <f>Table4[[#This Row],['# UTD with 
Partial Religious Exemption]]/Table4[[#This Row],['# of Students]]</f>
        <v>1.3048016701461377E-4</v>
      </c>
    </row>
    <row r="39" spans="1:10" x14ac:dyDescent="0.35">
      <c r="A39" t="s">
        <v>38</v>
      </c>
      <c r="B39">
        <v>155</v>
      </c>
      <c r="C39">
        <v>0</v>
      </c>
      <c r="D39" s="3">
        <f>Table4[[#This Row],['# with Full 
Medical Exemption]]/Table4[[#This Row],['# of Students]]</f>
        <v>0</v>
      </c>
      <c r="E39">
        <v>0</v>
      </c>
      <c r="F39" s="3">
        <f>Table4[[#This Row],['# UTD with 
Partial Medical Exemption]]/Table4[[#This Row],['# of Students]]</f>
        <v>0</v>
      </c>
      <c r="G39">
        <v>0</v>
      </c>
      <c r="H39" s="3">
        <f>Table4[[#This Row],['# with Full 
Religous Exemption]]/Table4[[#This Row],['# of Students]]</f>
        <v>0</v>
      </c>
      <c r="I39">
        <v>0</v>
      </c>
      <c r="J39" s="3">
        <f>Table4[[#This Row],['# UTD with 
Partial Religious Exemption]]/Table4[[#This Row],['# of Students]]</f>
        <v>0</v>
      </c>
    </row>
    <row r="40" spans="1:10" x14ac:dyDescent="0.35">
      <c r="A40" t="s">
        <v>39</v>
      </c>
      <c r="B40">
        <v>1032</v>
      </c>
      <c r="C40">
        <v>0</v>
      </c>
      <c r="D40" s="3">
        <f>Table4[[#This Row],['# with Full 
Medical Exemption]]/Table4[[#This Row],['# of Students]]</f>
        <v>0</v>
      </c>
      <c r="E40">
        <v>0</v>
      </c>
      <c r="F40" s="3">
        <f>Table4[[#This Row],['# UTD with 
Partial Medical Exemption]]/Table4[[#This Row],['# of Students]]</f>
        <v>0</v>
      </c>
      <c r="G40">
        <v>17</v>
      </c>
      <c r="H40" s="3">
        <f>Table4[[#This Row],['# with Full 
Religous Exemption]]/Table4[[#This Row],['# of Students]]</f>
        <v>1.6472868217054265E-2</v>
      </c>
      <c r="I40">
        <v>0</v>
      </c>
      <c r="J40" s="3">
        <f>Table4[[#This Row],['# UTD with 
Partial Religious Exemption]]/Table4[[#This Row],['# of Students]]</f>
        <v>0</v>
      </c>
    </row>
    <row r="41" spans="1:10" x14ac:dyDescent="0.35">
      <c r="A41" t="s">
        <v>40</v>
      </c>
      <c r="B41">
        <v>365</v>
      </c>
      <c r="C41">
        <v>1</v>
      </c>
      <c r="D41" s="3">
        <f>Table4[[#This Row],['# with Full 
Medical Exemption]]/Table4[[#This Row],['# of Students]]</f>
        <v>2.7397260273972603E-3</v>
      </c>
      <c r="E41">
        <v>0</v>
      </c>
      <c r="F41" s="3">
        <f>Table4[[#This Row],['# UTD with 
Partial Medical Exemption]]/Table4[[#This Row],['# of Students]]</f>
        <v>0</v>
      </c>
      <c r="G41">
        <v>2</v>
      </c>
      <c r="H41" s="3">
        <f>Table4[[#This Row],['# with Full 
Religous Exemption]]/Table4[[#This Row],['# of Students]]</f>
        <v>5.4794520547945206E-3</v>
      </c>
      <c r="I41">
        <v>0</v>
      </c>
      <c r="J41" s="3">
        <f>Table4[[#This Row],['# UTD with 
Partial Religious Exemption]]/Table4[[#This Row],['# of Students]]</f>
        <v>0</v>
      </c>
    </row>
    <row r="42" spans="1:10" x14ac:dyDescent="0.35">
      <c r="A42" t="s">
        <v>41</v>
      </c>
      <c r="B42">
        <v>1937</v>
      </c>
      <c r="C42">
        <v>1</v>
      </c>
      <c r="D42" s="3">
        <f>Table4[[#This Row],['# with Full 
Medical Exemption]]/Table4[[#This Row],['# of Students]]</f>
        <v>5.1626226122870422E-4</v>
      </c>
      <c r="E42">
        <v>0</v>
      </c>
      <c r="F42" s="3">
        <f>Table4[[#This Row],['# UTD with 
Partial Medical Exemption]]/Table4[[#This Row],['# of Students]]</f>
        <v>0</v>
      </c>
      <c r="G42">
        <v>21</v>
      </c>
      <c r="H42" s="3">
        <f>Table4[[#This Row],['# with Full 
Religous Exemption]]/Table4[[#This Row],['# of Students]]</f>
        <v>1.0841507485802787E-2</v>
      </c>
      <c r="I42">
        <v>0</v>
      </c>
      <c r="J42" s="3">
        <f>Table4[[#This Row],['# UTD with 
Partial Religious Exemption]]/Table4[[#This Row],['# of Students]]</f>
        <v>0</v>
      </c>
    </row>
    <row r="43" spans="1:10" x14ac:dyDescent="0.35">
      <c r="A43" t="s">
        <v>42</v>
      </c>
      <c r="B43">
        <v>1224</v>
      </c>
      <c r="C43">
        <v>2</v>
      </c>
      <c r="D43" s="3">
        <f>Table4[[#This Row],['# with Full 
Medical Exemption]]/Table4[[#This Row],['# of Students]]</f>
        <v>1.6339869281045752E-3</v>
      </c>
      <c r="E43">
        <v>0</v>
      </c>
      <c r="F43" s="3">
        <f>Table4[[#This Row],['# UTD with 
Partial Medical Exemption]]/Table4[[#This Row],['# of Students]]</f>
        <v>0</v>
      </c>
      <c r="G43">
        <v>14</v>
      </c>
      <c r="H43" s="3">
        <f>Table4[[#This Row],['# with Full 
Religous Exemption]]/Table4[[#This Row],['# of Students]]</f>
        <v>1.1437908496732025E-2</v>
      </c>
      <c r="I43">
        <v>0</v>
      </c>
      <c r="J43" s="3">
        <f>Table4[[#This Row],['# UTD with 
Partial Religious Exemption]]/Table4[[#This Row],['# of Students]]</f>
        <v>0</v>
      </c>
    </row>
    <row r="44" spans="1:10" x14ac:dyDescent="0.35">
      <c r="A44" t="s">
        <v>43</v>
      </c>
      <c r="B44">
        <v>139</v>
      </c>
      <c r="C44">
        <v>0</v>
      </c>
      <c r="D44" s="3">
        <f>Table4[[#This Row],['# with Full 
Medical Exemption]]/Table4[[#This Row],['# of Students]]</f>
        <v>0</v>
      </c>
      <c r="E44">
        <v>0</v>
      </c>
      <c r="F44" s="3">
        <f>Table4[[#This Row],['# UTD with 
Partial Medical Exemption]]/Table4[[#This Row],['# of Students]]</f>
        <v>0</v>
      </c>
      <c r="G44">
        <v>0</v>
      </c>
      <c r="H44" s="3">
        <f>Table4[[#This Row],['# with Full 
Religous Exemption]]/Table4[[#This Row],['# of Students]]</f>
        <v>0</v>
      </c>
      <c r="I44">
        <v>0</v>
      </c>
      <c r="J44" s="3">
        <f>Table4[[#This Row],['# UTD with 
Partial Religious Exemption]]/Table4[[#This Row],['# of Students]]</f>
        <v>0</v>
      </c>
    </row>
    <row r="45" spans="1:10" x14ac:dyDescent="0.35">
      <c r="A45" t="s">
        <v>44</v>
      </c>
      <c r="B45">
        <v>123</v>
      </c>
      <c r="C45">
        <v>0</v>
      </c>
      <c r="D45" s="3">
        <f>Table4[[#This Row],['# with Full 
Medical Exemption]]/Table4[[#This Row],['# of Students]]</f>
        <v>0</v>
      </c>
      <c r="E45">
        <v>0</v>
      </c>
      <c r="F45" s="3">
        <f>Table4[[#This Row],['# UTD with 
Partial Medical Exemption]]/Table4[[#This Row],['# of Students]]</f>
        <v>0</v>
      </c>
      <c r="G45">
        <v>0</v>
      </c>
      <c r="H45" s="3">
        <f>Table4[[#This Row],['# with Full 
Religous Exemption]]/Table4[[#This Row],['# of Students]]</f>
        <v>0</v>
      </c>
      <c r="I45">
        <v>0</v>
      </c>
      <c r="J45" s="3">
        <f>Table4[[#This Row],['# UTD with 
Partial Religious Exemption]]/Table4[[#This Row],['# of Students]]</f>
        <v>0</v>
      </c>
    </row>
    <row r="46" spans="1:10" x14ac:dyDescent="0.35">
      <c r="A46" t="s">
        <v>45</v>
      </c>
      <c r="B46">
        <v>4760</v>
      </c>
      <c r="C46">
        <v>5</v>
      </c>
      <c r="D46" s="3">
        <f>Table4[[#This Row],['# with Full 
Medical Exemption]]/Table4[[#This Row],['# of Students]]</f>
        <v>1.0504201680672268E-3</v>
      </c>
      <c r="E46">
        <v>1</v>
      </c>
      <c r="F46" s="3">
        <f>Table4[[#This Row],['# UTD with 
Partial Medical Exemption]]/Table4[[#This Row],['# of Students]]</f>
        <v>2.1008403361344539E-4</v>
      </c>
      <c r="G46">
        <v>59</v>
      </c>
      <c r="H46" s="3">
        <f>Table4[[#This Row],['# with Full 
Religous Exemption]]/Table4[[#This Row],['# of Students]]</f>
        <v>1.2394957983193277E-2</v>
      </c>
      <c r="I46">
        <v>0</v>
      </c>
      <c r="J46" s="3">
        <f>Table4[[#This Row],['# UTD with 
Partial Religious Exemption]]/Table4[[#This Row],['# of Students]]</f>
        <v>0</v>
      </c>
    </row>
    <row r="47" spans="1:10" x14ac:dyDescent="0.35">
      <c r="A47" t="s">
        <v>46</v>
      </c>
      <c r="B47">
        <v>252</v>
      </c>
      <c r="C47">
        <v>0</v>
      </c>
      <c r="D47" s="3">
        <f>Table4[[#This Row],['# with Full 
Medical Exemption]]/Table4[[#This Row],['# of Students]]</f>
        <v>0</v>
      </c>
      <c r="E47">
        <v>0</v>
      </c>
      <c r="F47" s="3">
        <f>Table4[[#This Row],['# UTD with 
Partial Medical Exemption]]/Table4[[#This Row],['# of Students]]</f>
        <v>0</v>
      </c>
      <c r="G47">
        <v>2</v>
      </c>
      <c r="H47" s="3">
        <f>Table4[[#This Row],['# with Full 
Religous Exemption]]/Table4[[#This Row],['# of Students]]</f>
        <v>7.9365079365079361E-3</v>
      </c>
      <c r="I47">
        <v>0</v>
      </c>
      <c r="J47" s="3">
        <f>Table4[[#This Row],['# UTD with 
Partial Religious Exemption]]/Table4[[#This Row],['# of Students]]</f>
        <v>0</v>
      </c>
    </row>
    <row r="48" spans="1:10" x14ac:dyDescent="0.35">
      <c r="A48" t="s">
        <v>47</v>
      </c>
      <c r="B48">
        <v>328</v>
      </c>
      <c r="C48">
        <v>0</v>
      </c>
      <c r="D48" s="3">
        <f>Table4[[#This Row],['# with Full 
Medical Exemption]]/Table4[[#This Row],['# of Students]]</f>
        <v>0</v>
      </c>
      <c r="E48">
        <v>0</v>
      </c>
      <c r="F48" s="3">
        <f>Table4[[#This Row],['# UTD with 
Partial Medical Exemption]]/Table4[[#This Row],['# of Students]]</f>
        <v>0</v>
      </c>
      <c r="G48">
        <v>1</v>
      </c>
      <c r="H48" s="3">
        <f>Table4[[#This Row],['# with Full 
Religous Exemption]]/Table4[[#This Row],['# of Students]]</f>
        <v>3.0487804878048782E-3</v>
      </c>
      <c r="I48">
        <v>0</v>
      </c>
      <c r="J48" s="3">
        <f>Table4[[#This Row],['# UTD with 
Partial Religious Exemption]]/Table4[[#This Row],['# of Students]]</f>
        <v>0</v>
      </c>
    </row>
    <row r="49" spans="1:10" x14ac:dyDescent="0.35">
      <c r="A49" t="s">
        <v>48</v>
      </c>
      <c r="B49">
        <v>1329</v>
      </c>
      <c r="C49">
        <v>0</v>
      </c>
      <c r="D49" s="3">
        <f>Table4[[#This Row],['# with Full 
Medical Exemption]]/Table4[[#This Row],['# of Students]]</f>
        <v>0</v>
      </c>
      <c r="E49">
        <v>0</v>
      </c>
      <c r="F49" s="3">
        <f>Table4[[#This Row],['# UTD with 
Partial Medical Exemption]]/Table4[[#This Row],['# of Students]]</f>
        <v>0</v>
      </c>
      <c r="G49">
        <v>9</v>
      </c>
      <c r="H49" s="3">
        <f>Table4[[#This Row],['# with Full 
Religous Exemption]]/Table4[[#This Row],['# of Students]]</f>
        <v>6.7720090293453723E-3</v>
      </c>
      <c r="I49">
        <v>0</v>
      </c>
      <c r="J49" s="3">
        <f>Table4[[#This Row],['# UTD with 
Partial Religious Exemption]]/Table4[[#This Row],['# of Students]]</f>
        <v>0</v>
      </c>
    </row>
    <row r="50" spans="1:10" x14ac:dyDescent="0.35">
      <c r="A50" t="s">
        <v>49</v>
      </c>
      <c r="B50">
        <v>5090</v>
      </c>
      <c r="C50">
        <v>5</v>
      </c>
      <c r="D50" s="3">
        <f>Table4[[#This Row],['# with Full 
Medical Exemption]]/Table4[[#This Row],['# of Students]]</f>
        <v>9.8231827111984276E-4</v>
      </c>
      <c r="E50">
        <v>2</v>
      </c>
      <c r="F50" s="3">
        <f>Table4[[#This Row],['# UTD with 
Partial Medical Exemption]]/Table4[[#This Row],['# of Students]]</f>
        <v>3.9292730844793711E-4</v>
      </c>
      <c r="G50">
        <v>69</v>
      </c>
      <c r="H50" s="3">
        <f>Table4[[#This Row],['# with Full 
Religous Exemption]]/Table4[[#This Row],['# of Students]]</f>
        <v>1.3555992141453831E-2</v>
      </c>
      <c r="I50">
        <v>0</v>
      </c>
      <c r="J50" s="3">
        <f>Table4[[#This Row],['# UTD with 
Partial Religious Exemption]]/Table4[[#This Row],['# of Students]]</f>
        <v>0</v>
      </c>
    </row>
    <row r="51" spans="1:10" x14ac:dyDescent="0.35">
      <c r="A51" t="s">
        <v>50</v>
      </c>
      <c r="B51">
        <v>272</v>
      </c>
      <c r="C51">
        <v>0</v>
      </c>
      <c r="D51" s="3">
        <f>Table4[[#This Row],['# with Full 
Medical Exemption]]/Table4[[#This Row],['# of Students]]</f>
        <v>0</v>
      </c>
      <c r="E51">
        <v>0</v>
      </c>
      <c r="F51" s="3">
        <f>Table4[[#This Row],['# UTD with 
Partial Medical Exemption]]/Table4[[#This Row],['# of Students]]</f>
        <v>0</v>
      </c>
      <c r="G51">
        <v>5</v>
      </c>
      <c r="H51" s="3">
        <f>Table4[[#This Row],['# with Full 
Religous Exemption]]/Table4[[#This Row],['# of Students]]</f>
        <v>1.8382352941176471E-2</v>
      </c>
      <c r="I51">
        <v>0</v>
      </c>
      <c r="J51" s="3">
        <f>Table4[[#This Row],['# UTD with 
Partial Religious Exemption]]/Table4[[#This Row],['# of Students]]</f>
        <v>0</v>
      </c>
    </row>
    <row r="52" spans="1:10" x14ac:dyDescent="0.35">
      <c r="A52" t="s">
        <v>51</v>
      </c>
      <c r="B52">
        <v>2797</v>
      </c>
      <c r="C52">
        <v>1</v>
      </c>
      <c r="D52" s="3">
        <f>Table4[[#This Row],['# with Full 
Medical Exemption]]/Table4[[#This Row],['# of Students]]</f>
        <v>3.5752592062924561E-4</v>
      </c>
      <c r="E52">
        <v>0</v>
      </c>
      <c r="F52" s="3">
        <f>Table4[[#This Row],['# UTD with 
Partial Medical Exemption]]/Table4[[#This Row],['# of Students]]</f>
        <v>0</v>
      </c>
      <c r="G52">
        <v>21</v>
      </c>
      <c r="H52" s="3">
        <f>Table4[[#This Row],['# with Full 
Religous Exemption]]/Table4[[#This Row],['# of Students]]</f>
        <v>7.5080443332141578E-3</v>
      </c>
      <c r="I52">
        <v>0</v>
      </c>
      <c r="J52" s="3">
        <f>Table4[[#This Row],['# UTD with 
Partial Religious Exemption]]/Table4[[#This Row],['# of Students]]</f>
        <v>0</v>
      </c>
    </row>
    <row r="53" spans="1:10" x14ac:dyDescent="0.35">
      <c r="A53" t="s">
        <v>52</v>
      </c>
      <c r="B53">
        <v>1505</v>
      </c>
      <c r="C53">
        <v>1</v>
      </c>
      <c r="D53" s="3">
        <f>Table4[[#This Row],['# with Full 
Medical Exemption]]/Table4[[#This Row],['# of Students]]</f>
        <v>6.6445182724252495E-4</v>
      </c>
      <c r="E53">
        <v>0</v>
      </c>
      <c r="F53" s="3">
        <f>Table4[[#This Row],['# UTD with 
Partial Medical Exemption]]/Table4[[#This Row],['# of Students]]</f>
        <v>0</v>
      </c>
      <c r="G53">
        <v>17</v>
      </c>
      <c r="H53" s="3">
        <f>Table4[[#This Row],['# with Full 
Religous Exemption]]/Table4[[#This Row],['# of Students]]</f>
        <v>1.1295681063122924E-2</v>
      </c>
      <c r="I53">
        <v>0</v>
      </c>
      <c r="J53" s="3">
        <f>Table4[[#This Row],['# UTD with 
Partial Religious Exemption]]/Table4[[#This Row],['# of Students]]</f>
        <v>0</v>
      </c>
    </row>
    <row r="54" spans="1:10" x14ac:dyDescent="0.35">
      <c r="A54" t="s">
        <v>53</v>
      </c>
      <c r="B54">
        <v>86</v>
      </c>
      <c r="C54">
        <v>0</v>
      </c>
      <c r="D54" s="3">
        <f>Table4[[#This Row],['# with Full 
Medical Exemption]]/Table4[[#This Row],['# of Students]]</f>
        <v>0</v>
      </c>
      <c r="E54">
        <v>0</v>
      </c>
      <c r="F54" s="3">
        <f>Table4[[#This Row],['# UTD with 
Partial Medical Exemption]]/Table4[[#This Row],['# of Students]]</f>
        <v>0</v>
      </c>
      <c r="G54">
        <v>0</v>
      </c>
      <c r="H54" s="3">
        <f>Table4[[#This Row],['# with Full 
Religous Exemption]]/Table4[[#This Row],['# of Students]]</f>
        <v>0</v>
      </c>
      <c r="I54">
        <v>0</v>
      </c>
      <c r="J54" s="3">
        <f>Table4[[#This Row],['# UTD with 
Partial Religious Exemption]]/Table4[[#This Row],['# of Students]]</f>
        <v>0</v>
      </c>
    </row>
    <row r="55" spans="1:10" x14ac:dyDescent="0.35">
      <c r="A55" t="s">
        <v>54</v>
      </c>
      <c r="B55">
        <v>190</v>
      </c>
      <c r="C55">
        <v>0</v>
      </c>
      <c r="D55" s="3">
        <f>Table4[[#This Row],['# with Full 
Medical Exemption]]/Table4[[#This Row],['# of Students]]</f>
        <v>0</v>
      </c>
      <c r="E55">
        <v>0</v>
      </c>
      <c r="F55" s="3">
        <f>Table4[[#This Row],['# UTD with 
Partial Medical Exemption]]/Table4[[#This Row],['# of Students]]</f>
        <v>0</v>
      </c>
      <c r="G55">
        <v>1</v>
      </c>
      <c r="H55" s="3">
        <f>Table4[[#This Row],['# with Full 
Religous Exemption]]/Table4[[#This Row],['# of Students]]</f>
        <v>5.263157894736842E-3</v>
      </c>
      <c r="I55">
        <v>0</v>
      </c>
      <c r="J55" s="3">
        <f>Table4[[#This Row],['# UTD with 
Partial Religious Exemption]]/Table4[[#This Row],['# of Students]]</f>
        <v>0</v>
      </c>
    </row>
    <row r="56" spans="1:10" x14ac:dyDescent="0.35">
      <c r="A56" t="s">
        <v>55</v>
      </c>
      <c r="B56">
        <v>354</v>
      </c>
      <c r="C56">
        <v>0</v>
      </c>
      <c r="D56" s="3">
        <f>Table4[[#This Row],['# with Full 
Medical Exemption]]/Table4[[#This Row],['# of Students]]</f>
        <v>0</v>
      </c>
      <c r="E56">
        <v>0</v>
      </c>
      <c r="F56" s="3">
        <f>Table4[[#This Row],['# UTD with 
Partial Medical Exemption]]/Table4[[#This Row],['# of Students]]</f>
        <v>0</v>
      </c>
      <c r="G56">
        <v>2</v>
      </c>
      <c r="H56" s="3">
        <f>Table4[[#This Row],['# with Full 
Religous Exemption]]/Table4[[#This Row],['# of Students]]</f>
        <v>5.6497175141242938E-3</v>
      </c>
      <c r="I56">
        <v>0</v>
      </c>
      <c r="J56" s="3">
        <f>Table4[[#This Row],['# UTD with 
Partial Religious Exemption]]/Table4[[#This Row],['# of Students]]</f>
        <v>0</v>
      </c>
    </row>
    <row r="57" spans="1:10" x14ac:dyDescent="0.35">
      <c r="A57" t="s">
        <v>56</v>
      </c>
      <c r="B57">
        <v>276</v>
      </c>
      <c r="C57">
        <v>1</v>
      </c>
      <c r="D57" s="3">
        <f>Table4[[#This Row],['# with Full 
Medical Exemption]]/Table4[[#This Row],['# of Students]]</f>
        <v>3.6231884057971015E-3</v>
      </c>
      <c r="E57">
        <v>0</v>
      </c>
      <c r="F57" s="3">
        <f>Table4[[#This Row],['# UTD with 
Partial Medical Exemption]]/Table4[[#This Row],['# of Students]]</f>
        <v>0</v>
      </c>
      <c r="G57">
        <v>4</v>
      </c>
      <c r="H57" s="3">
        <f>Table4[[#This Row],['# with Full 
Religous Exemption]]/Table4[[#This Row],['# of Students]]</f>
        <v>1.4492753623188406E-2</v>
      </c>
      <c r="I57">
        <v>0</v>
      </c>
      <c r="J57" s="3">
        <f>Table4[[#This Row],['# UTD with 
Partial Religious Exemption]]/Table4[[#This Row],['# of Students]]</f>
        <v>0</v>
      </c>
    </row>
    <row r="58" spans="1:10" x14ac:dyDescent="0.35">
      <c r="A58" t="s">
        <v>57</v>
      </c>
      <c r="B58">
        <v>757</v>
      </c>
      <c r="C58">
        <v>0</v>
      </c>
      <c r="D58" s="3">
        <f>Table4[[#This Row],['# with Full 
Medical Exemption]]/Table4[[#This Row],['# of Students]]</f>
        <v>0</v>
      </c>
      <c r="E58">
        <v>0</v>
      </c>
      <c r="F58" s="3">
        <f>Table4[[#This Row],['# UTD with 
Partial Medical Exemption]]/Table4[[#This Row],['# of Students]]</f>
        <v>0</v>
      </c>
      <c r="G58">
        <v>1</v>
      </c>
      <c r="H58" s="3">
        <f>Table4[[#This Row],['# with Full 
Religous Exemption]]/Table4[[#This Row],['# of Students]]</f>
        <v>1.321003963011889E-3</v>
      </c>
      <c r="I58">
        <v>0</v>
      </c>
      <c r="J58" s="3">
        <f>Table4[[#This Row],['# UTD with 
Partial Religious Exemption]]/Table4[[#This Row],['# of Students]]</f>
        <v>0</v>
      </c>
    </row>
    <row r="59" spans="1:10" x14ac:dyDescent="0.35">
      <c r="A59" t="s">
        <v>58</v>
      </c>
      <c r="B59">
        <v>2968</v>
      </c>
      <c r="C59">
        <v>4</v>
      </c>
      <c r="D59" s="3">
        <f>Table4[[#This Row],['# with Full 
Medical Exemption]]/Table4[[#This Row],['# of Students]]</f>
        <v>1.3477088948787063E-3</v>
      </c>
      <c r="E59">
        <v>0</v>
      </c>
      <c r="F59" s="3">
        <f>Table4[[#This Row],['# UTD with 
Partial Medical Exemption]]/Table4[[#This Row],['# of Students]]</f>
        <v>0</v>
      </c>
      <c r="G59">
        <v>46</v>
      </c>
      <c r="H59" s="3">
        <f>Table4[[#This Row],['# with Full 
Religous Exemption]]/Table4[[#This Row],['# of Students]]</f>
        <v>1.5498652291105121E-2</v>
      </c>
      <c r="I59">
        <v>0</v>
      </c>
      <c r="J59" s="3">
        <f>Table4[[#This Row],['# UTD with 
Partial Religious Exemption]]/Table4[[#This Row],['# of Students]]</f>
        <v>0</v>
      </c>
    </row>
    <row r="60" spans="1:10" x14ac:dyDescent="0.35">
      <c r="A60" t="s">
        <v>77</v>
      </c>
      <c r="B60">
        <v>1094</v>
      </c>
      <c r="C60">
        <v>0</v>
      </c>
      <c r="D60" s="3">
        <f>Table4[[#This Row],['# with Full 
Medical Exemption]]/Table4[[#This Row],['# of Students]]</f>
        <v>0</v>
      </c>
      <c r="E60">
        <v>0</v>
      </c>
      <c r="F60" s="3">
        <f>Table4[[#This Row],['# UTD with 
Partial Medical Exemption]]/Table4[[#This Row],['# of Students]]</f>
        <v>0</v>
      </c>
      <c r="G60">
        <v>21</v>
      </c>
      <c r="H60" s="3">
        <f>Table4[[#This Row],['# with Full 
Religous Exemption]]/Table4[[#This Row],['# of Students]]</f>
        <v>1.9195612431444242E-2</v>
      </c>
      <c r="I60">
        <v>0</v>
      </c>
      <c r="J60" s="3">
        <f>Table4[[#This Row],['# UTD with 
Partial Religious Exemption]]/Table4[[#This Row],['# of Students]]</f>
        <v>0</v>
      </c>
    </row>
    <row r="61" spans="1:10" x14ac:dyDescent="0.35">
      <c r="A61" t="s">
        <v>60</v>
      </c>
      <c r="B61">
        <v>110</v>
      </c>
      <c r="C61">
        <v>0</v>
      </c>
      <c r="D61" s="3">
        <f>Table4[[#This Row],['# with Full 
Medical Exemption]]/Table4[[#This Row],['# of Students]]</f>
        <v>0</v>
      </c>
      <c r="E61">
        <v>0</v>
      </c>
      <c r="F61" s="3">
        <f>Table4[[#This Row],['# UTD with 
Partial Medical Exemption]]/Table4[[#This Row],['# of Students]]</f>
        <v>0</v>
      </c>
      <c r="G61">
        <v>0</v>
      </c>
      <c r="H61" s="3">
        <f>Table4[[#This Row],['# with Full 
Religous Exemption]]/Table4[[#This Row],['# of Students]]</f>
        <v>0</v>
      </c>
      <c r="I61">
        <v>1</v>
      </c>
      <c r="J61" s="3">
        <f>Table4[[#This Row],['# UTD with 
Partial Religious Exemption]]/Table4[[#This Row],['# of Students]]</f>
        <v>9.0909090909090905E-3</v>
      </c>
    </row>
    <row r="62" spans="1:10" x14ac:dyDescent="0.35">
      <c r="A62" t="s">
        <v>61</v>
      </c>
      <c r="B62">
        <v>879</v>
      </c>
      <c r="C62">
        <v>1</v>
      </c>
      <c r="D62" s="3">
        <f>Table4[[#This Row],['# with Full 
Medical Exemption]]/Table4[[#This Row],['# of Students]]</f>
        <v>1.1376564277588168E-3</v>
      </c>
      <c r="E62">
        <v>0</v>
      </c>
      <c r="F62" s="3">
        <f>Table4[[#This Row],['# UTD with 
Partial Medical Exemption]]/Table4[[#This Row],['# of Students]]</f>
        <v>0</v>
      </c>
      <c r="G62">
        <v>6</v>
      </c>
      <c r="H62" s="3">
        <f>Table4[[#This Row],['# with Full 
Religous Exemption]]/Table4[[#This Row],['# of Students]]</f>
        <v>6.8259385665529011E-3</v>
      </c>
      <c r="I62">
        <v>0</v>
      </c>
      <c r="J62" s="3">
        <f>Table4[[#This Row],['# UTD with 
Partial Religious Exemption]]/Table4[[#This Row],['# of Students]]</f>
        <v>0</v>
      </c>
    </row>
    <row r="63" spans="1:10" x14ac:dyDescent="0.35">
      <c r="A63" t="s">
        <v>62</v>
      </c>
      <c r="B63">
        <v>413</v>
      </c>
      <c r="C63">
        <v>0</v>
      </c>
      <c r="D63" s="3">
        <f>Table4[[#This Row],['# with Full 
Medical Exemption]]/Table4[[#This Row],['# of Students]]</f>
        <v>0</v>
      </c>
      <c r="E63">
        <v>0</v>
      </c>
      <c r="F63" s="3">
        <f>Table4[[#This Row],['# UTD with 
Partial Medical Exemption]]/Table4[[#This Row],['# of Students]]</f>
        <v>0</v>
      </c>
      <c r="G63">
        <v>3</v>
      </c>
      <c r="H63" s="3">
        <f>Table4[[#This Row],['# with Full 
Religous Exemption]]/Table4[[#This Row],['# of Students]]</f>
        <v>7.2639225181598066E-3</v>
      </c>
      <c r="I63">
        <v>0</v>
      </c>
      <c r="J63" s="3">
        <f>Table4[[#This Row],['# UTD with 
Partial Religious Exemption]]/Table4[[#This Row],['# of Students]]</f>
        <v>0</v>
      </c>
    </row>
    <row r="64" spans="1:10" x14ac:dyDescent="0.35">
      <c r="A64" t="s">
        <v>63</v>
      </c>
      <c r="B64">
        <v>2463</v>
      </c>
      <c r="C64">
        <v>0</v>
      </c>
      <c r="D64" s="3">
        <f>Table4[[#This Row],['# with Full 
Medical Exemption]]/Table4[[#This Row],['# of Students]]</f>
        <v>0</v>
      </c>
      <c r="E64">
        <v>0</v>
      </c>
      <c r="F64" s="3">
        <f>Table4[[#This Row],['# UTD with 
Partial Medical Exemption]]/Table4[[#This Row],['# of Students]]</f>
        <v>0</v>
      </c>
      <c r="G64">
        <v>21</v>
      </c>
      <c r="H64" s="3">
        <f>Table4[[#This Row],['# with Full 
Religous Exemption]]/Table4[[#This Row],['# of Students]]</f>
        <v>8.5261875761266752E-3</v>
      </c>
      <c r="I64">
        <v>0</v>
      </c>
      <c r="J64" s="3">
        <f>Table4[[#This Row],['# UTD with 
Partial Religious Exemption]]/Table4[[#This Row],['# of Students]]</f>
        <v>0</v>
      </c>
    </row>
    <row r="65" spans="1:10" x14ac:dyDescent="0.35">
      <c r="A65" t="s">
        <v>64</v>
      </c>
      <c r="B65">
        <v>741</v>
      </c>
      <c r="C65">
        <v>0</v>
      </c>
      <c r="D65" s="3">
        <f>Table4[[#This Row],['# with Full 
Medical Exemption]]/Table4[[#This Row],['# of Students]]</f>
        <v>0</v>
      </c>
      <c r="E65">
        <v>0</v>
      </c>
      <c r="F65" s="3">
        <f>Table4[[#This Row],['# UTD with 
Partial Medical Exemption]]/Table4[[#This Row],['# of Students]]</f>
        <v>0</v>
      </c>
      <c r="G65">
        <v>3</v>
      </c>
      <c r="H65" s="3">
        <f>Table4[[#This Row],['# with Full 
Religous Exemption]]/Table4[[#This Row],['# of Students]]</f>
        <v>4.048582995951417E-3</v>
      </c>
      <c r="I65">
        <v>0</v>
      </c>
      <c r="J65" s="3">
        <f>Table4[[#This Row],['# UTD with 
Partial Religious Exemption]]/Table4[[#This Row],['# of Students]]</f>
        <v>0</v>
      </c>
    </row>
    <row r="66" spans="1:10" x14ac:dyDescent="0.35">
      <c r="A66" t="s">
        <v>65</v>
      </c>
      <c r="B66">
        <v>196</v>
      </c>
      <c r="C66">
        <v>0</v>
      </c>
      <c r="D66" s="3">
        <f>Table4[[#This Row],['# with Full 
Medical Exemption]]/Table4[[#This Row],['# of Students]]</f>
        <v>0</v>
      </c>
      <c r="E66">
        <v>0</v>
      </c>
      <c r="F66" s="3">
        <f>Table4[[#This Row],['# UTD with 
Partial Medical Exemption]]/Table4[[#This Row],['# of Students]]</f>
        <v>0</v>
      </c>
      <c r="G66">
        <v>1</v>
      </c>
      <c r="H66" s="3">
        <f>Table4[[#This Row],['# with Full 
Religous Exemption]]/Table4[[#This Row],['# of Students]]</f>
        <v>5.1020408163265302E-3</v>
      </c>
      <c r="I66">
        <v>0</v>
      </c>
      <c r="J66" s="3">
        <f>Table4[[#This Row],['# UTD with 
Partial Religious Exemption]]/Table4[[#This Row],['# of Students]]</f>
        <v>0</v>
      </c>
    </row>
    <row r="67" spans="1:10" x14ac:dyDescent="0.35">
      <c r="A67" t="s">
        <v>66</v>
      </c>
      <c r="B67">
        <v>85</v>
      </c>
      <c r="C67">
        <v>0</v>
      </c>
      <c r="D67" s="3">
        <f>Table4[[#This Row],['# with Full 
Medical Exemption]]/Table4[[#This Row],['# of Students]]</f>
        <v>0</v>
      </c>
      <c r="E67">
        <v>0</v>
      </c>
      <c r="F67" s="3">
        <f>Table4[[#This Row],['# UTD with 
Partial Medical Exemption]]/Table4[[#This Row],['# of Students]]</f>
        <v>0</v>
      </c>
      <c r="G67">
        <v>0</v>
      </c>
      <c r="H67" s="3">
        <f>Table4[[#This Row],['# with Full 
Religous Exemption]]/Table4[[#This Row],['# of Students]]</f>
        <v>0</v>
      </c>
      <c r="I67">
        <v>0</v>
      </c>
      <c r="J67" s="3">
        <f>Table4[[#This Row],['# UTD with 
Partial Religious Exemption]]/Table4[[#This Row],['# of Students]]</f>
        <v>0</v>
      </c>
    </row>
    <row r="68" spans="1:10" x14ac:dyDescent="0.35">
      <c r="A68" t="s">
        <v>67</v>
      </c>
      <c r="B68">
        <v>280</v>
      </c>
      <c r="C68">
        <v>0</v>
      </c>
      <c r="D68" s="3">
        <f>Table4[[#This Row],['# with Full 
Medical Exemption]]/Table4[[#This Row],['# of Students]]</f>
        <v>0</v>
      </c>
      <c r="E68">
        <v>0</v>
      </c>
      <c r="F68" s="3">
        <f>Table4[[#This Row],['# UTD with 
Partial Medical Exemption]]/Table4[[#This Row],['# of Students]]</f>
        <v>0</v>
      </c>
      <c r="G68">
        <v>8</v>
      </c>
      <c r="H68" s="3">
        <f>Table4[[#This Row],['# with Full 
Religous Exemption]]/Table4[[#This Row],['# of Students]]</f>
        <v>2.8571428571428571E-2</v>
      </c>
      <c r="I68">
        <v>0</v>
      </c>
      <c r="J68" s="3">
        <f>Table4[[#This Row],['# UTD with 
Partial Religious Exemption]]/Table4[[#This Row],['# of Students]]</f>
        <v>0</v>
      </c>
    </row>
    <row r="69" spans="1:10" x14ac:dyDescent="0.35">
      <c r="B69">
        <f>SUBTOTAL(109,Table4['# of Students])</f>
        <v>60295</v>
      </c>
      <c r="C69">
        <f>SUBTOTAL(109,Table4['# with Full 
Medical Exemption])</f>
        <v>46</v>
      </c>
      <c r="D69" s="3">
        <f>Table4[[#Totals],['# with Full 
Medical Exemption]]/Table4[[#Totals],['# of Students]]</f>
        <v>7.6291566464881003E-4</v>
      </c>
      <c r="E69">
        <f>SUBTOTAL(109,Table4['# UTD with 
Partial Medical Exemption])</f>
        <v>10</v>
      </c>
      <c r="F69" s="3">
        <f>Table4[[#Totals],['# UTD with 
Partial Medical Exemption]]/Table4[[#Totals],['# of Students]]</f>
        <v>1.6585123144539348E-4</v>
      </c>
      <c r="G69">
        <f>SUBTOTAL(109,Table4['# with Full 
Religous Exemption])</f>
        <v>660</v>
      </c>
      <c r="H69" s="3">
        <f>Table4[[#Totals],['# with Full 
Religous Exemption]]/Table4[[#Totals],['# of Students]]</f>
        <v>1.0946181275395969E-2</v>
      </c>
      <c r="I69">
        <f>SUBTOTAL(109,Table4['# UTD with 
Partial Religious Exemption])</f>
        <v>4</v>
      </c>
      <c r="J69" s="3">
        <f>Table4[[#Totals],['# UTD with 
Partial Religious Exemption]]/Table4[[#Totals],['# of Students]]</f>
        <v>6.6340492578157399E-5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0E6A5-0E93-4349-B42E-E190AB2FFC7E}">
  <dimension ref="A1:J69"/>
  <sheetViews>
    <sheetView workbookViewId="0">
      <selection activeCell="J70" sqref="J70"/>
    </sheetView>
  </sheetViews>
  <sheetFormatPr defaultRowHeight="14.5" x14ac:dyDescent="0.35"/>
  <cols>
    <col min="1" max="1" width="14.26953125" bestFit="1" customWidth="1"/>
    <col min="2" max="2" width="14.81640625" bestFit="1" customWidth="1"/>
    <col min="3" max="3" width="20.7265625" bestFit="1" customWidth="1"/>
    <col min="4" max="4" width="20.7265625" style="3" bestFit="1" customWidth="1"/>
    <col min="5" max="5" width="27" bestFit="1" customWidth="1"/>
    <col min="6" max="6" width="25.81640625" style="3" bestFit="1" customWidth="1"/>
    <col min="7" max="7" width="21.1796875" bestFit="1" customWidth="1"/>
    <col min="8" max="8" width="21.1796875" style="3" bestFit="1" customWidth="1"/>
    <col min="9" max="9" width="28.1796875" bestFit="1" customWidth="1"/>
    <col min="10" max="10" width="28.1796875" style="3" bestFit="1" customWidth="1"/>
  </cols>
  <sheetData>
    <row r="1" spans="1:10" ht="29" x14ac:dyDescent="0.35">
      <c r="A1" t="s">
        <v>0</v>
      </c>
      <c r="B1" t="s">
        <v>68</v>
      </c>
      <c r="C1" s="1" t="s">
        <v>69</v>
      </c>
      <c r="D1" s="2" t="s">
        <v>70</v>
      </c>
      <c r="E1" s="1" t="s">
        <v>71</v>
      </c>
      <c r="F1" s="2" t="s">
        <v>72</v>
      </c>
      <c r="G1" s="1" t="s">
        <v>73</v>
      </c>
      <c r="H1" s="2" t="s">
        <v>74</v>
      </c>
      <c r="I1" s="1" t="s">
        <v>75</v>
      </c>
      <c r="J1" s="2" t="s">
        <v>76</v>
      </c>
    </row>
    <row r="2" spans="1:10" x14ac:dyDescent="0.35">
      <c r="A2" t="s">
        <v>1</v>
      </c>
      <c r="B2">
        <v>719</v>
      </c>
      <c r="C2">
        <v>1</v>
      </c>
      <c r="D2" s="3">
        <f>Table5[[#This Row],['# with Full 
Medical Exemption]]/Table5[[#This Row],['# of Students]]</f>
        <v>1.3908205841446453E-3</v>
      </c>
      <c r="E2">
        <v>0</v>
      </c>
      <c r="F2" s="3">
        <f>Table5[[#This Row],['# UTD with 
Partial Medical Exemption]]/Table5[[#This Row],['# of Students]]</f>
        <v>0</v>
      </c>
      <c r="G2">
        <v>11</v>
      </c>
      <c r="H2" s="3">
        <f>Table5[[#This Row],['# with Full 
Religous Exemption]]/Table5[[#This Row],['# of Students]]</f>
        <v>1.5299026425591099E-2</v>
      </c>
      <c r="I2">
        <v>0</v>
      </c>
      <c r="J2" s="3">
        <f>Table5[[#This Row],['# UTD with 
Partial Religious Exemption]]/Table5[[#This Row],['# of Students]]</f>
        <v>0</v>
      </c>
    </row>
    <row r="3" spans="1:10" x14ac:dyDescent="0.35">
      <c r="A3" t="s">
        <v>2</v>
      </c>
      <c r="B3">
        <v>3005</v>
      </c>
      <c r="C3">
        <v>8</v>
      </c>
      <c r="D3" s="3">
        <f>Table5[[#This Row],['# with Full 
Medical Exemption]]/Table5[[#This Row],['# of Students]]</f>
        <v>2.6622296173044926E-3</v>
      </c>
      <c r="E3">
        <v>2</v>
      </c>
      <c r="F3" s="3">
        <f>Table5[[#This Row],['# UTD with 
Partial Medical Exemption]]/Table5[[#This Row],['# of Students]]</f>
        <v>6.6555740432612314E-4</v>
      </c>
      <c r="G3">
        <v>93</v>
      </c>
      <c r="H3" s="3">
        <f>Table5[[#This Row],['# with Full 
Religous Exemption]]/Table5[[#This Row],['# of Students]]</f>
        <v>3.0948419301164726E-2</v>
      </c>
      <c r="I3">
        <v>0</v>
      </c>
      <c r="J3" s="3">
        <f>Table5[[#This Row],['# UTD with 
Partial Religious Exemption]]/Table5[[#This Row],['# of Students]]</f>
        <v>0</v>
      </c>
    </row>
    <row r="4" spans="1:10" x14ac:dyDescent="0.35">
      <c r="A4" t="s">
        <v>3</v>
      </c>
      <c r="B4">
        <v>705</v>
      </c>
      <c r="C4">
        <v>0</v>
      </c>
      <c r="D4" s="3">
        <f>Table5[[#This Row],['# with Full 
Medical Exemption]]/Table5[[#This Row],['# of Students]]</f>
        <v>0</v>
      </c>
      <c r="E4">
        <v>0</v>
      </c>
      <c r="F4" s="3">
        <f>Table5[[#This Row],['# UTD with 
Partial Medical Exemption]]/Table5[[#This Row],['# of Students]]</f>
        <v>0</v>
      </c>
      <c r="G4">
        <v>11</v>
      </c>
      <c r="H4" s="3">
        <f>Table5[[#This Row],['# with Full 
Religous Exemption]]/Table5[[#This Row],['# of Students]]</f>
        <v>1.5602836879432624E-2</v>
      </c>
      <c r="I4">
        <v>0</v>
      </c>
      <c r="J4" s="3">
        <f>Table5[[#This Row],['# UTD with 
Partial Religious Exemption]]/Table5[[#This Row],['# of Students]]</f>
        <v>0</v>
      </c>
    </row>
    <row r="5" spans="1:10" x14ac:dyDescent="0.35">
      <c r="A5" t="s">
        <v>4</v>
      </c>
      <c r="B5">
        <v>147</v>
      </c>
      <c r="C5">
        <v>0</v>
      </c>
      <c r="D5" s="3">
        <f>Table5[[#This Row],['# with Full 
Medical Exemption]]/Table5[[#This Row],['# of Students]]</f>
        <v>0</v>
      </c>
      <c r="E5">
        <v>0</v>
      </c>
      <c r="F5" s="3">
        <f>Table5[[#This Row],['# UTD with 
Partial Medical Exemption]]/Table5[[#This Row],['# of Students]]</f>
        <v>0</v>
      </c>
      <c r="G5">
        <v>2</v>
      </c>
      <c r="H5" s="3">
        <f>Table5[[#This Row],['# with Full 
Religous Exemption]]/Table5[[#This Row],['# of Students]]</f>
        <v>1.3605442176870748E-2</v>
      </c>
      <c r="I5">
        <v>0</v>
      </c>
      <c r="J5" s="3">
        <f>Table5[[#This Row],['# UTD with 
Partial Religious Exemption]]/Table5[[#This Row],['# of Students]]</f>
        <v>0</v>
      </c>
    </row>
    <row r="6" spans="1:10" x14ac:dyDescent="0.35">
      <c r="A6" t="s">
        <v>5</v>
      </c>
      <c r="B6">
        <v>655</v>
      </c>
      <c r="C6">
        <v>2</v>
      </c>
      <c r="D6" s="3">
        <f>Table5[[#This Row],['# with Full 
Medical Exemption]]/Table5[[#This Row],['# of Students]]</f>
        <v>3.0534351145038168E-3</v>
      </c>
      <c r="E6">
        <v>0</v>
      </c>
      <c r="F6" s="3">
        <f>Table5[[#This Row],['# UTD with 
Partial Medical Exemption]]/Table5[[#This Row],['# of Students]]</f>
        <v>0</v>
      </c>
      <c r="G6">
        <v>9</v>
      </c>
      <c r="H6" s="3">
        <f>Table5[[#This Row],['# with Full 
Religous Exemption]]/Table5[[#This Row],['# of Students]]</f>
        <v>1.3740458015267175E-2</v>
      </c>
      <c r="I6">
        <v>0</v>
      </c>
      <c r="J6" s="3">
        <f>Table5[[#This Row],['# UTD with 
Partial Religious Exemption]]/Table5[[#This Row],['# of Students]]</f>
        <v>0</v>
      </c>
    </row>
    <row r="7" spans="1:10" x14ac:dyDescent="0.35">
      <c r="A7" t="s">
        <v>6</v>
      </c>
      <c r="B7">
        <v>101</v>
      </c>
      <c r="C7">
        <v>0</v>
      </c>
      <c r="D7" s="3">
        <f>Table5[[#This Row],['# with Full 
Medical Exemption]]/Table5[[#This Row],['# of Students]]</f>
        <v>0</v>
      </c>
      <c r="E7">
        <v>0</v>
      </c>
      <c r="F7" s="3">
        <f>Table5[[#This Row],['# UTD with 
Partial Medical Exemption]]/Table5[[#This Row],['# of Students]]</f>
        <v>0</v>
      </c>
      <c r="G7">
        <v>0</v>
      </c>
      <c r="H7" s="3">
        <f>Table5[[#This Row],['# with Full 
Religous Exemption]]/Table5[[#This Row],['# of Students]]</f>
        <v>0</v>
      </c>
      <c r="I7">
        <v>0</v>
      </c>
      <c r="J7" s="3">
        <f>Table5[[#This Row],['# UTD with 
Partial Religious Exemption]]/Table5[[#This Row],['# of Students]]</f>
        <v>0</v>
      </c>
    </row>
    <row r="8" spans="1:10" x14ac:dyDescent="0.35">
      <c r="A8" t="s">
        <v>7</v>
      </c>
      <c r="B8">
        <v>218</v>
      </c>
      <c r="C8">
        <v>0</v>
      </c>
      <c r="D8" s="3">
        <f>Table5[[#This Row],['# with Full 
Medical Exemption]]/Table5[[#This Row],['# of Students]]</f>
        <v>0</v>
      </c>
      <c r="E8">
        <v>0</v>
      </c>
      <c r="F8" s="3">
        <f>Table5[[#This Row],['# UTD with 
Partial Medical Exemption]]/Table5[[#This Row],['# of Students]]</f>
        <v>0</v>
      </c>
      <c r="G8">
        <v>1</v>
      </c>
      <c r="H8" s="3">
        <f>Table5[[#This Row],['# with Full 
Religous Exemption]]/Table5[[#This Row],['# of Students]]</f>
        <v>4.5871559633027525E-3</v>
      </c>
      <c r="I8">
        <v>0</v>
      </c>
      <c r="J8" s="3">
        <f>Table5[[#This Row],['# UTD with 
Partial Religious Exemption]]/Table5[[#This Row],['# of Students]]</f>
        <v>0</v>
      </c>
    </row>
    <row r="9" spans="1:10" x14ac:dyDescent="0.35">
      <c r="A9" t="s">
        <v>8</v>
      </c>
      <c r="B9">
        <v>1250</v>
      </c>
      <c r="C9">
        <v>4</v>
      </c>
      <c r="D9" s="3">
        <f>Table5[[#This Row],['# with Full 
Medical Exemption]]/Table5[[#This Row],['# of Students]]</f>
        <v>3.2000000000000002E-3</v>
      </c>
      <c r="E9">
        <v>0</v>
      </c>
      <c r="F9" s="3">
        <f>Table5[[#This Row],['# UTD with 
Partial Medical Exemption]]/Table5[[#This Row],['# of Students]]</f>
        <v>0</v>
      </c>
      <c r="G9">
        <v>18</v>
      </c>
      <c r="H9" s="3">
        <f>Table5[[#This Row],['# with Full 
Religous Exemption]]/Table5[[#This Row],['# of Students]]</f>
        <v>1.44E-2</v>
      </c>
      <c r="I9">
        <v>0</v>
      </c>
      <c r="J9" s="3">
        <f>Table5[[#This Row],['# UTD with 
Partial Religious Exemption]]/Table5[[#This Row],['# of Students]]</f>
        <v>0</v>
      </c>
    </row>
    <row r="10" spans="1:10" x14ac:dyDescent="0.35">
      <c r="A10" t="s">
        <v>9</v>
      </c>
      <c r="B10">
        <v>304</v>
      </c>
      <c r="C10">
        <v>0</v>
      </c>
      <c r="D10" s="3">
        <f>Table5[[#This Row],['# with Full 
Medical Exemption]]/Table5[[#This Row],['# of Students]]</f>
        <v>0</v>
      </c>
      <c r="E10">
        <v>0</v>
      </c>
      <c r="F10" s="3">
        <f>Table5[[#This Row],['# UTD with 
Partial Medical Exemption]]/Table5[[#This Row],['# of Students]]</f>
        <v>0</v>
      </c>
      <c r="G10">
        <v>1</v>
      </c>
      <c r="H10" s="3">
        <f>Table5[[#This Row],['# with Full 
Religous Exemption]]/Table5[[#This Row],['# of Students]]</f>
        <v>3.2894736842105261E-3</v>
      </c>
      <c r="I10">
        <v>0</v>
      </c>
      <c r="J10" s="3">
        <f>Table5[[#This Row],['# UTD with 
Partial Religious Exemption]]/Table5[[#This Row],['# of Students]]</f>
        <v>0</v>
      </c>
    </row>
    <row r="11" spans="1:10" x14ac:dyDescent="0.35">
      <c r="A11" t="s">
        <v>10</v>
      </c>
      <c r="B11">
        <v>288</v>
      </c>
      <c r="C11">
        <v>1</v>
      </c>
      <c r="D11" s="3">
        <f>Table5[[#This Row],['# with Full 
Medical Exemption]]/Table5[[#This Row],['# of Students]]</f>
        <v>3.472222222222222E-3</v>
      </c>
      <c r="E11">
        <v>0</v>
      </c>
      <c r="F11" s="3">
        <f>Table5[[#This Row],['# UTD with 
Partial Medical Exemption]]/Table5[[#This Row],['# of Students]]</f>
        <v>0</v>
      </c>
      <c r="G11">
        <v>3</v>
      </c>
      <c r="H11" s="3">
        <f>Table5[[#This Row],['# with Full 
Religous Exemption]]/Table5[[#This Row],['# of Students]]</f>
        <v>1.0416666666666666E-2</v>
      </c>
      <c r="I11">
        <v>0</v>
      </c>
      <c r="J11" s="3">
        <f>Table5[[#This Row],['# UTD with 
Partial Religious Exemption]]/Table5[[#This Row],['# of Students]]</f>
        <v>0</v>
      </c>
    </row>
    <row r="12" spans="1:10" x14ac:dyDescent="0.35">
      <c r="A12" t="s">
        <v>11</v>
      </c>
      <c r="B12">
        <v>573</v>
      </c>
      <c r="C12">
        <v>0</v>
      </c>
      <c r="D12" s="3">
        <f>Table5[[#This Row],['# with Full 
Medical Exemption]]/Table5[[#This Row],['# of Students]]</f>
        <v>0</v>
      </c>
      <c r="E12">
        <v>0</v>
      </c>
      <c r="F12" s="3">
        <f>Table5[[#This Row],['# UTD with 
Partial Medical Exemption]]/Table5[[#This Row],['# of Students]]</f>
        <v>0</v>
      </c>
      <c r="G12">
        <v>1</v>
      </c>
      <c r="H12" s="3">
        <f>Table5[[#This Row],['# with Full 
Religous Exemption]]/Table5[[#This Row],['# of Students]]</f>
        <v>1.7452006980802793E-3</v>
      </c>
      <c r="I12">
        <v>0</v>
      </c>
      <c r="J12" s="3">
        <f>Table5[[#This Row],['# UTD with 
Partial Religious Exemption]]/Table5[[#This Row],['# of Students]]</f>
        <v>0</v>
      </c>
    </row>
    <row r="13" spans="1:10" x14ac:dyDescent="0.35">
      <c r="A13" t="s">
        <v>12</v>
      </c>
      <c r="B13">
        <v>111</v>
      </c>
      <c r="C13">
        <v>0</v>
      </c>
      <c r="D13" s="3">
        <f>Table5[[#This Row],['# with Full 
Medical Exemption]]/Table5[[#This Row],['# of Students]]</f>
        <v>0</v>
      </c>
      <c r="E13">
        <v>0</v>
      </c>
      <c r="F13" s="3">
        <f>Table5[[#This Row],['# UTD with 
Partial Medical Exemption]]/Table5[[#This Row],['# of Students]]</f>
        <v>0</v>
      </c>
      <c r="G13">
        <v>0</v>
      </c>
      <c r="H13" s="3">
        <f>Table5[[#This Row],['# with Full 
Religous Exemption]]/Table5[[#This Row],['# of Students]]</f>
        <v>0</v>
      </c>
      <c r="I13">
        <v>0</v>
      </c>
      <c r="J13" s="3">
        <f>Table5[[#This Row],['# UTD with 
Partial Religious Exemption]]/Table5[[#This Row],['# of Students]]</f>
        <v>0</v>
      </c>
    </row>
    <row r="14" spans="1:10" x14ac:dyDescent="0.35">
      <c r="A14" t="s">
        <v>13</v>
      </c>
      <c r="B14">
        <v>253</v>
      </c>
      <c r="C14">
        <v>0</v>
      </c>
      <c r="D14" s="3">
        <f>Table5[[#This Row],['# with Full 
Medical Exemption]]/Table5[[#This Row],['# of Students]]</f>
        <v>0</v>
      </c>
      <c r="E14">
        <v>0</v>
      </c>
      <c r="F14" s="3">
        <f>Table5[[#This Row],['# UTD with 
Partial Medical Exemption]]/Table5[[#This Row],['# of Students]]</f>
        <v>0</v>
      </c>
      <c r="G14">
        <v>3</v>
      </c>
      <c r="H14" s="3">
        <f>Table5[[#This Row],['# with Full 
Religous Exemption]]/Table5[[#This Row],['# of Students]]</f>
        <v>1.1857707509881422E-2</v>
      </c>
      <c r="I14">
        <v>0</v>
      </c>
      <c r="J14" s="3">
        <f>Table5[[#This Row],['# UTD with 
Partial Religious Exemption]]/Table5[[#This Row],['# of Students]]</f>
        <v>0</v>
      </c>
    </row>
    <row r="15" spans="1:10" x14ac:dyDescent="0.35">
      <c r="A15" t="s">
        <v>14</v>
      </c>
      <c r="B15">
        <v>159</v>
      </c>
      <c r="C15">
        <v>0</v>
      </c>
      <c r="D15" s="3">
        <f>Table5[[#This Row],['# with Full 
Medical Exemption]]/Table5[[#This Row],['# of Students]]</f>
        <v>0</v>
      </c>
      <c r="E15">
        <v>0</v>
      </c>
      <c r="F15" s="3">
        <f>Table5[[#This Row],['# UTD with 
Partial Medical Exemption]]/Table5[[#This Row],['# of Students]]</f>
        <v>0</v>
      </c>
      <c r="G15">
        <v>6</v>
      </c>
      <c r="H15" s="3">
        <f>Table5[[#This Row],['# with Full 
Religous Exemption]]/Table5[[#This Row],['# of Students]]</f>
        <v>3.7735849056603772E-2</v>
      </c>
      <c r="I15">
        <v>0</v>
      </c>
      <c r="J15" s="3">
        <f>Table5[[#This Row],['# UTD with 
Partial Religious Exemption]]/Table5[[#This Row],['# of Students]]</f>
        <v>0</v>
      </c>
    </row>
    <row r="16" spans="1:10" x14ac:dyDescent="0.35">
      <c r="A16" t="s">
        <v>15</v>
      </c>
      <c r="B16">
        <v>179</v>
      </c>
      <c r="C16">
        <v>0</v>
      </c>
      <c r="D16" s="3">
        <f>Table5[[#This Row],['# with Full 
Medical Exemption]]/Table5[[#This Row],['# of Students]]</f>
        <v>0</v>
      </c>
      <c r="E16">
        <v>0</v>
      </c>
      <c r="F16" s="3">
        <f>Table5[[#This Row],['# UTD with 
Partial Medical Exemption]]/Table5[[#This Row],['# of Students]]</f>
        <v>0</v>
      </c>
      <c r="G16">
        <v>3</v>
      </c>
      <c r="H16" s="3">
        <f>Table5[[#This Row],['# with Full 
Religous Exemption]]/Table5[[#This Row],['# of Students]]</f>
        <v>1.6759776536312849E-2</v>
      </c>
      <c r="I16">
        <v>0</v>
      </c>
      <c r="J16" s="3">
        <f>Table5[[#This Row],['# UTD with 
Partial Religious Exemption]]/Table5[[#This Row],['# of Students]]</f>
        <v>0</v>
      </c>
    </row>
    <row r="17" spans="1:10" x14ac:dyDescent="0.35">
      <c r="A17" t="s">
        <v>16</v>
      </c>
      <c r="B17">
        <v>800</v>
      </c>
      <c r="C17">
        <v>0</v>
      </c>
      <c r="D17" s="3">
        <f>Table5[[#This Row],['# with Full 
Medical Exemption]]/Table5[[#This Row],['# of Students]]</f>
        <v>0</v>
      </c>
      <c r="E17">
        <v>0</v>
      </c>
      <c r="F17" s="3">
        <f>Table5[[#This Row],['# UTD with 
Partial Medical Exemption]]/Table5[[#This Row],['# of Students]]</f>
        <v>0</v>
      </c>
      <c r="G17">
        <v>9</v>
      </c>
      <c r="H17" s="3">
        <f>Table5[[#This Row],['# with Full 
Religous Exemption]]/Table5[[#This Row],['# of Students]]</f>
        <v>1.125E-2</v>
      </c>
      <c r="I17">
        <v>0</v>
      </c>
      <c r="J17" s="3">
        <f>Table5[[#This Row],['# UTD with 
Partial Religious Exemption]]/Table5[[#This Row],['# of Students]]</f>
        <v>0</v>
      </c>
    </row>
    <row r="18" spans="1:10" x14ac:dyDescent="0.35">
      <c r="A18" t="s">
        <v>17</v>
      </c>
      <c r="B18">
        <v>625</v>
      </c>
      <c r="C18">
        <v>0</v>
      </c>
      <c r="D18" s="3">
        <f>Table5[[#This Row],['# with Full 
Medical Exemption]]/Table5[[#This Row],['# of Students]]</f>
        <v>0</v>
      </c>
      <c r="E18">
        <v>0</v>
      </c>
      <c r="F18" s="3">
        <f>Table5[[#This Row],['# UTD with 
Partial Medical Exemption]]/Table5[[#This Row],['# of Students]]</f>
        <v>0</v>
      </c>
      <c r="G18">
        <v>7</v>
      </c>
      <c r="H18" s="3">
        <f>Table5[[#This Row],['# with Full 
Religous Exemption]]/Table5[[#This Row],['# of Students]]</f>
        <v>1.12E-2</v>
      </c>
      <c r="I18">
        <v>0</v>
      </c>
      <c r="J18" s="3">
        <f>Table5[[#This Row],['# UTD with 
Partial Religious Exemption]]/Table5[[#This Row],['# of Students]]</f>
        <v>0</v>
      </c>
    </row>
    <row r="19" spans="1:10" x14ac:dyDescent="0.35">
      <c r="A19" t="s">
        <v>18</v>
      </c>
      <c r="B19">
        <v>82</v>
      </c>
      <c r="C19">
        <v>0</v>
      </c>
      <c r="D19" s="3">
        <f>Table5[[#This Row],['# with Full 
Medical Exemption]]/Table5[[#This Row],['# of Students]]</f>
        <v>0</v>
      </c>
      <c r="E19">
        <v>0</v>
      </c>
      <c r="F19" s="3">
        <f>Table5[[#This Row],['# UTD with 
Partial Medical Exemption]]/Table5[[#This Row],['# of Students]]</f>
        <v>0</v>
      </c>
      <c r="G19">
        <v>1</v>
      </c>
      <c r="H19" s="3">
        <f>Table5[[#This Row],['# with Full 
Religous Exemption]]/Table5[[#This Row],['# of Students]]</f>
        <v>1.2195121951219513E-2</v>
      </c>
      <c r="I19">
        <v>0</v>
      </c>
      <c r="J19" s="3">
        <f>Table5[[#This Row],['# UTD with 
Partial Religious Exemption]]/Table5[[#This Row],['# of Students]]</f>
        <v>0</v>
      </c>
    </row>
    <row r="20" spans="1:10" x14ac:dyDescent="0.35">
      <c r="A20" t="s">
        <v>19</v>
      </c>
      <c r="B20">
        <v>75</v>
      </c>
      <c r="C20">
        <v>0</v>
      </c>
      <c r="D20" s="3">
        <f>Table5[[#This Row],['# with Full 
Medical Exemption]]/Table5[[#This Row],['# of Students]]</f>
        <v>0</v>
      </c>
      <c r="E20">
        <v>0</v>
      </c>
      <c r="F20" s="3">
        <f>Table5[[#This Row],['# UTD with 
Partial Medical Exemption]]/Table5[[#This Row],['# of Students]]</f>
        <v>0</v>
      </c>
      <c r="G20">
        <v>0</v>
      </c>
      <c r="H20" s="3">
        <f>Table5[[#This Row],['# with Full 
Religous Exemption]]/Table5[[#This Row],['# of Students]]</f>
        <v>0</v>
      </c>
      <c r="I20">
        <v>0</v>
      </c>
      <c r="J20" s="3">
        <f>Table5[[#This Row],['# UTD with 
Partial Religious Exemption]]/Table5[[#This Row],['# of Students]]</f>
        <v>0</v>
      </c>
    </row>
    <row r="21" spans="1:10" x14ac:dyDescent="0.35">
      <c r="A21" t="s">
        <v>20</v>
      </c>
      <c r="B21">
        <v>468</v>
      </c>
      <c r="C21">
        <v>2</v>
      </c>
      <c r="D21" s="3">
        <f>Table5[[#This Row],['# with Full 
Medical Exemption]]/Table5[[#This Row],['# of Students]]</f>
        <v>4.2735042735042739E-3</v>
      </c>
      <c r="E21">
        <v>0</v>
      </c>
      <c r="F21" s="3">
        <f>Table5[[#This Row],['# UTD with 
Partial Medical Exemption]]/Table5[[#This Row],['# of Students]]</f>
        <v>0</v>
      </c>
      <c r="G21">
        <v>10</v>
      </c>
      <c r="H21" s="3">
        <f>Table5[[#This Row],['# with Full 
Religous Exemption]]/Table5[[#This Row],['# of Students]]</f>
        <v>2.1367521367521368E-2</v>
      </c>
      <c r="I21">
        <v>0</v>
      </c>
      <c r="J21" s="3">
        <f>Table5[[#This Row],['# UTD with 
Partial Religious Exemption]]/Table5[[#This Row],['# of Students]]</f>
        <v>0</v>
      </c>
    </row>
    <row r="22" spans="1:10" x14ac:dyDescent="0.35">
      <c r="A22" t="s">
        <v>21</v>
      </c>
      <c r="B22">
        <v>185</v>
      </c>
      <c r="C22">
        <v>0</v>
      </c>
      <c r="D22" s="3">
        <f>Table5[[#This Row],['# with Full 
Medical Exemption]]/Table5[[#This Row],['# of Students]]</f>
        <v>0</v>
      </c>
      <c r="E22">
        <v>0</v>
      </c>
      <c r="F22" s="3">
        <f>Table5[[#This Row],['# UTD with 
Partial Medical Exemption]]/Table5[[#This Row],['# of Students]]</f>
        <v>0</v>
      </c>
      <c r="G22">
        <v>1</v>
      </c>
      <c r="H22" s="3">
        <f>Table5[[#This Row],['# with Full 
Religous Exemption]]/Table5[[#This Row],['# of Students]]</f>
        <v>5.4054054054054057E-3</v>
      </c>
      <c r="I22">
        <v>0</v>
      </c>
      <c r="J22" s="3">
        <f>Table5[[#This Row],['# UTD with 
Partial Religious Exemption]]/Table5[[#This Row],['# of Students]]</f>
        <v>0</v>
      </c>
    </row>
    <row r="23" spans="1:10" x14ac:dyDescent="0.35">
      <c r="A23" t="s">
        <v>22</v>
      </c>
      <c r="B23">
        <v>969</v>
      </c>
      <c r="C23">
        <v>4</v>
      </c>
      <c r="D23" s="3">
        <f>Table5[[#This Row],['# with Full 
Medical Exemption]]/Table5[[#This Row],['# of Students]]</f>
        <v>4.1279669762641896E-3</v>
      </c>
      <c r="E23">
        <v>0</v>
      </c>
      <c r="F23" s="3">
        <f>Table5[[#This Row],['# UTD with 
Partial Medical Exemption]]/Table5[[#This Row],['# of Students]]</f>
        <v>0</v>
      </c>
      <c r="G23">
        <v>30</v>
      </c>
      <c r="H23" s="3">
        <f>Table5[[#This Row],['# with Full 
Religous Exemption]]/Table5[[#This Row],['# of Students]]</f>
        <v>3.0959752321981424E-2</v>
      </c>
      <c r="I23">
        <v>0</v>
      </c>
      <c r="J23" s="3">
        <f>Table5[[#This Row],['# UTD with 
Partial Religious Exemption]]/Table5[[#This Row],['# of Students]]</f>
        <v>0</v>
      </c>
    </row>
    <row r="24" spans="1:10" x14ac:dyDescent="0.35">
      <c r="A24" t="s">
        <v>23</v>
      </c>
      <c r="B24">
        <v>450</v>
      </c>
      <c r="C24">
        <v>1</v>
      </c>
      <c r="D24" s="3">
        <f>Table5[[#This Row],['# with Full 
Medical Exemption]]/Table5[[#This Row],['# of Students]]</f>
        <v>2.2222222222222222E-3</v>
      </c>
      <c r="E24">
        <v>0</v>
      </c>
      <c r="F24" s="3">
        <f>Table5[[#This Row],['# UTD with 
Partial Medical Exemption]]/Table5[[#This Row],['# of Students]]</f>
        <v>0</v>
      </c>
      <c r="G24">
        <v>7</v>
      </c>
      <c r="H24" s="3">
        <f>Table5[[#This Row],['# with Full 
Religous Exemption]]/Table5[[#This Row],['# of Students]]</f>
        <v>1.5555555555555555E-2</v>
      </c>
      <c r="I24">
        <v>0</v>
      </c>
      <c r="J24" s="3">
        <f>Table5[[#This Row],['# UTD with 
Partial Religious Exemption]]/Table5[[#This Row],['# of Students]]</f>
        <v>0</v>
      </c>
    </row>
    <row r="25" spans="1:10" x14ac:dyDescent="0.35">
      <c r="A25" t="s">
        <v>24</v>
      </c>
      <c r="B25">
        <v>301</v>
      </c>
      <c r="C25">
        <v>0</v>
      </c>
      <c r="D25" s="3">
        <f>Table5[[#This Row],['# with Full 
Medical Exemption]]/Table5[[#This Row],['# of Students]]</f>
        <v>0</v>
      </c>
      <c r="E25">
        <v>0</v>
      </c>
      <c r="F25" s="3">
        <f>Table5[[#This Row],['# UTD with 
Partial Medical Exemption]]/Table5[[#This Row],['# of Students]]</f>
        <v>0</v>
      </c>
      <c r="G25">
        <v>0</v>
      </c>
      <c r="H25" s="3">
        <f>Table5[[#This Row],['# with Full 
Religous Exemption]]/Table5[[#This Row],['# of Students]]</f>
        <v>0</v>
      </c>
      <c r="I25">
        <v>0</v>
      </c>
      <c r="J25" s="3">
        <f>Table5[[#This Row],['# UTD with 
Partial Religious Exemption]]/Table5[[#This Row],['# of Students]]</f>
        <v>0</v>
      </c>
    </row>
    <row r="26" spans="1:10" x14ac:dyDescent="0.35">
      <c r="A26" t="s">
        <v>25</v>
      </c>
      <c r="B26">
        <v>965</v>
      </c>
      <c r="C26">
        <v>0</v>
      </c>
      <c r="D26" s="3">
        <f>Table5[[#This Row],['# with Full 
Medical Exemption]]/Table5[[#This Row],['# of Students]]</f>
        <v>0</v>
      </c>
      <c r="E26">
        <v>1</v>
      </c>
      <c r="F26" s="3">
        <f>Table5[[#This Row],['# UTD with 
Partial Medical Exemption]]/Table5[[#This Row],['# of Students]]</f>
        <v>1.0362694300518134E-3</v>
      </c>
      <c r="G26">
        <v>8</v>
      </c>
      <c r="H26" s="3">
        <f>Table5[[#This Row],['# with Full 
Religous Exemption]]/Table5[[#This Row],['# of Students]]</f>
        <v>8.2901554404145074E-3</v>
      </c>
      <c r="I26">
        <v>0</v>
      </c>
      <c r="J26" s="3">
        <f>Table5[[#This Row],['# UTD with 
Partial Religious Exemption]]/Table5[[#This Row],['# of Students]]</f>
        <v>0</v>
      </c>
    </row>
    <row r="27" spans="1:10" x14ac:dyDescent="0.35">
      <c r="A27" t="s">
        <v>26</v>
      </c>
      <c r="B27">
        <v>1066</v>
      </c>
      <c r="C27">
        <v>1</v>
      </c>
      <c r="D27" s="3">
        <f>Table5[[#This Row],['# with Full 
Medical Exemption]]/Table5[[#This Row],['# of Students]]</f>
        <v>9.3808630393996248E-4</v>
      </c>
      <c r="E27">
        <v>0</v>
      </c>
      <c r="F27" s="3">
        <f>Table5[[#This Row],['# UTD with 
Partial Medical Exemption]]/Table5[[#This Row],['# of Students]]</f>
        <v>0</v>
      </c>
      <c r="G27">
        <v>13</v>
      </c>
      <c r="H27" s="3">
        <f>Table5[[#This Row],['# with Full 
Religous Exemption]]/Table5[[#This Row],['# of Students]]</f>
        <v>1.2195121951219513E-2</v>
      </c>
      <c r="I27">
        <v>0</v>
      </c>
      <c r="J27" s="3">
        <f>Table5[[#This Row],['# UTD with 
Partial Religious Exemption]]/Table5[[#This Row],['# of Students]]</f>
        <v>0</v>
      </c>
    </row>
    <row r="28" spans="1:10" x14ac:dyDescent="0.35">
      <c r="A28" t="s">
        <v>27</v>
      </c>
      <c r="B28">
        <v>399</v>
      </c>
      <c r="C28">
        <v>1</v>
      </c>
      <c r="D28" s="3">
        <f>Table5[[#This Row],['# with Full 
Medical Exemption]]/Table5[[#This Row],['# of Students]]</f>
        <v>2.5062656641604009E-3</v>
      </c>
      <c r="E28">
        <v>0</v>
      </c>
      <c r="F28" s="3">
        <f>Table5[[#This Row],['# UTD with 
Partial Medical Exemption]]/Table5[[#This Row],['# of Students]]</f>
        <v>0</v>
      </c>
      <c r="G28">
        <v>4</v>
      </c>
      <c r="H28" s="3">
        <f>Table5[[#This Row],['# with Full 
Religous Exemption]]/Table5[[#This Row],['# of Students]]</f>
        <v>1.0025062656641603E-2</v>
      </c>
      <c r="I28">
        <v>0</v>
      </c>
      <c r="J28" s="3">
        <f>Table5[[#This Row],['# UTD with 
Partial Religious Exemption]]/Table5[[#This Row],['# of Students]]</f>
        <v>0</v>
      </c>
    </row>
    <row r="29" spans="1:10" x14ac:dyDescent="0.35">
      <c r="A29" t="s">
        <v>28</v>
      </c>
      <c r="B29">
        <v>1215</v>
      </c>
      <c r="C29">
        <v>2</v>
      </c>
      <c r="D29" s="3">
        <f>Table5[[#This Row],['# with Full 
Medical Exemption]]/Table5[[#This Row],['# of Students]]</f>
        <v>1.6460905349794238E-3</v>
      </c>
      <c r="E29">
        <v>0</v>
      </c>
      <c r="F29" s="3">
        <f>Table5[[#This Row],['# UTD with 
Partial Medical Exemption]]/Table5[[#This Row],['# of Students]]</f>
        <v>0</v>
      </c>
      <c r="G29">
        <v>16</v>
      </c>
      <c r="H29" s="3">
        <f>Table5[[#This Row],['# with Full 
Religous Exemption]]/Table5[[#This Row],['# of Students]]</f>
        <v>1.3168724279835391E-2</v>
      </c>
      <c r="I29">
        <v>0</v>
      </c>
      <c r="J29" s="3">
        <f>Table5[[#This Row],['# UTD with 
Partial Religious Exemption]]/Table5[[#This Row],['# of Students]]</f>
        <v>0</v>
      </c>
    </row>
    <row r="30" spans="1:10" x14ac:dyDescent="0.35">
      <c r="A30" t="s">
        <v>29</v>
      </c>
      <c r="B30">
        <v>166</v>
      </c>
      <c r="C30">
        <v>1</v>
      </c>
      <c r="D30" s="3">
        <f>Table5[[#This Row],['# with Full 
Medical Exemption]]/Table5[[#This Row],['# of Students]]</f>
        <v>6.024096385542169E-3</v>
      </c>
      <c r="E30">
        <v>0</v>
      </c>
      <c r="F30" s="3">
        <f>Table5[[#This Row],['# UTD with 
Partial Medical Exemption]]/Table5[[#This Row],['# of Students]]</f>
        <v>0</v>
      </c>
      <c r="G30">
        <v>1</v>
      </c>
      <c r="H30" s="3">
        <f>Table5[[#This Row],['# with Full 
Religous Exemption]]/Table5[[#This Row],['# of Students]]</f>
        <v>6.024096385542169E-3</v>
      </c>
      <c r="I30">
        <v>0</v>
      </c>
      <c r="J30" s="3">
        <f>Table5[[#This Row],['# UTD with 
Partial Religious Exemption]]/Table5[[#This Row],['# of Students]]</f>
        <v>0</v>
      </c>
    </row>
    <row r="31" spans="1:10" x14ac:dyDescent="0.35">
      <c r="A31" t="s">
        <v>30</v>
      </c>
      <c r="B31">
        <v>445</v>
      </c>
      <c r="C31">
        <v>0</v>
      </c>
      <c r="D31" s="3">
        <f>Table5[[#This Row],['# with Full 
Medical Exemption]]/Table5[[#This Row],['# of Students]]</f>
        <v>0</v>
      </c>
      <c r="E31">
        <v>0</v>
      </c>
      <c r="F31" s="3">
        <f>Table5[[#This Row],['# UTD with 
Partial Medical Exemption]]/Table5[[#This Row],['# of Students]]</f>
        <v>0</v>
      </c>
      <c r="G31">
        <v>1</v>
      </c>
      <c r="H31" s="3">
        <f>Table5[[#This Row],['# with Full 
Religous Exemption]]/Table5[[#This Row],['# of Students]]</f>
        <v>2.2471910112359553E-3</v>
      </c>
      <c r="I31">
        <v>0</v>
      </c>
      <c r="J31" s="3">
        <f>Table5[[#This Row],['# UTD with 
Partial Religious Exemption]]/Table5[[#This Row],['# of Students]]</f>
        <v>0</v>
      </c>
    </row>
    <row r="32" spans="1:10" x14ac:dyDescent="0.35">
      <c r="A32" t="s">
        <v>31</v>
      </c>
      <c r="B32">
        <v>295</v>
      </c>
      <c r="C32">
        <v>1</v>
      </c>
      <c r="D32" s="3">
        <f>Table5[[#This Row],['# with Full 
Medical Exemption]]/Table5[[#This Row],['# of Students]]</f>
        <v>3.3898305084745762E-3</v>
      </c>
      <c r="E32">
        <v>0</v>
      </c>
      <c r="F32" s="3">
        <f>Table5[[#This Row],['# UTD with 
Partial Medical Exemption]]/Table5[[#This Row],['# of Students]]</f>
        <v>0</v>
      </c>
      <c r="G32">
        <v>3</v>
      </c>
      <c r="H32" s="3">
        <f>Table5[[#This Row],['# with Full 
Religous Exemption]]/Table5[[#This Row],['# of Students]]</f>
        <v>1.0169491525423728E-2</v>
      </c>
      <c r="I32">
        <v>0</v>
      </c>
      <c r="J32" s="3">
        <f>Table5[[#This Row],['# UTD with 
Partial Religious Exemption]]/Table5[[#This Row],['# of Students]]</f>
        <v>0</v>
      </c>
    </row>
    <row r="33" spans="1:10" x14ac:dyDescent="0.35">
      <c r="A33" t="s">
        <v>32</v>
      </c>
      <c r="B33">
        <v>50</v>
      </c>
      <c r="C33">
        <v>0</v>
      </c>
      <c r="D33" s="3">
        <f>Table5[[#This Row],['# with Full 
Medical Exemption]]/Table5[[#This Row],['# of Students]]</f>
        <v>0</v>
      </c>
      <c r="E33">
        <v>0</v>
      </c>
      <c r="F33" s="3">
        <f>Table5[[#This Row],['# UTD with 
Partial Medical Exemption]]/Table5[[#This Row],['# of Students]]</f>
        <v>0</v>
      </c>
      <c r="G33">
        <v>0</v>
      </c>
      <c r="H33" s="3">
        <f>Table5[[#This Row],['# with Full 
Religous Exemption]]/Table5[[#This Row],['# of Students]]</f>
        <v>0</v>
      </c>
      <c r="I33">
        <v>0</v>
      </c>
      <c r="J33" s="3">
        <f>Table5[[#This Row],['# UTD with 
Partial Religious Exemption]]/Table5[[#This Row],['# of Students]]</f>
        <v>0</v>
      </c>
    </row>
    <row r="34" spans="1:10" x14ac:dyDescent="0.35">
      <c r="A34" t="s">
        <v>33</v>
      </c>
      <c r="B34">
        <v>168</v>
      </c>
      <c r="C34">
        <v>0</v>
      </c>
      <c r="D34" s="3">
        <f>Table5[[#This Row],['# with Full 
Medical Exemption]]/Table5[[#This Row],['# of Students]]</f>
        <v>0</v>
      </c>
      <c r="E34">
        <v>0</v>
      </c>
      <c r="F34" s="3">
        <f>Table5[[#This Row],['# UTD with 
Partial Medical Exemption]]/Table5[[#This Row],['# of Students]]</f>
        <v>0</v>
      </c>
      <c r="G34">
        <v>1</v>
      </c>
      <c r="H34" s="3">
        <f>Table5[[#This Row],['# with Full 
Religous Exemption]]/Table5[[#This Row],['# of Students]]</f>
        <v>5.9523809523809521E-3</v>
      </c>
      <c r="I34">
        <v>0</v>
      </c>
      <c r="J34" s="3">
        <f>Table5[[#This Row],['# UTD with 
Partial Religious Exemption]]/Table5[[#This Row],['# of Students]]</f>
        <v>0</v>
      </c>
    </row>
    <row r="35" spans="1:10" x14ac:dyDescent="0.35">
      <c r="A35" t="s">
        <v>34</v>
      </c>
      <c r="B35">
        <v>205</v>
      </c>
      <c r="C35">
        <v>2</v>
      </c>
      <c r="D35" s="3">
        <f>Table5[[#This Row],['# with Full 
Medical Exemption]]/Table5[[#This Row],['# of Students]]</f>
        <v>9.7560975609756097E-3</v>
      </c>
      <c r="E35">
        <v>0</v>
      </c>
      <c r="F35" s="3">
        <f>Table5[[#This Row],['# UTD with 
Partial Medical Exemption]]/Table5[[#This Row],['# of Students]]</f>
        <v>0</v>
      </c>
      <c r="G35">
        <v>4</v>
      </c>
      <c r="H35" s="3">
        <f>Table5[[#This Row],['# with Full 
Religous Exemption]]/Table5[[#This Row],['# of Students]]</f>
        <v>1.9512195121951219E-2</v>
      </c>
      <c r="I35">
        <v>0</v>
      </c>
      <c r="J35" s="3">
        <f>Table5[[#This Row],['# UTD with 
Partial Religious Exemption]]/Table5[[#This Row],['# of Students]]</f>
        <v>0</v>
      </c>
    </row>
    <row r="36" spans="1:10" x14ac:dyDescent="0.35">
      <c r="A36" t="s">
        <v>35</v>
      </c>
      <c r="B36">
        <v>1196</v>
      </c>
      <c r="C36">
        <v>2</v>
      </c>
      <c r="D36" s="3">
        <f>Table5[[#This Row],['# with Full 
Medical Exemption]]/Table5[[#This Row],['# of Students]]</f>
        <v>1.6722408026755853E-3</v>
      </c>
      <c r="E36">
        <v>0</v>
      </c>
      <c r="F36" s="3">
        <f>Table5[[#This Row],['# UTD with 
Partial Medical Exemption]]/Table5[[#This Row],['# of Students]]</f>
        <v>0</v>
      </c>
      <c r="G36">
        <v>6</v>
      </c>
      <c r="H36" s="3">
        <f>Table5[[#This Row],['# with Full 
Religous Exemption]]/Table5[[#This Row],['# of Students]]</f>
        <v>5.016722408026756E-3</v>
      </c>
      <c r="I36">
        <v>2</v>
      </c>
      <c r="J36" s="3">
        <f>Table5[[#This Row],['# UTD with 
Partial Religious Exemption]]/Table5[[#This Row],['# of Students]]</f>
        <v>1.6722408026755853E-3</v>
      </c>
    </row>
    <row r="37" spans="1:10" x14ac:dyDescent="0.35">
      <c r="A37" t="s">
        <v>36</v>
      </c>
      <c r="B37">
        <v>523</v>
      </c>
      <c r="C37">
        <v>0</v>
      </c>
      <c r="D37" s="3">
        <f>Table5[[#This Row],['# with Full 
Medical Exemption]]/Table5[[#This Row],['# of Students]]</f>
        <v>0</v>
      </c>
      <c r="E37">
        <v>0</v>
      </c>
      <c r="F37" s="3">
        <f>Table5[[#This Row],['# UTD with 
Partial Medical Exemption]]/Table5[[#This Row],['# of Students]]</f>
        <v>0</v>
      </c>
      <c r="G37">
        <v>9</v>
      </c>
      <c r="H37" s="3">
        <f>Table5[[#This Row],['# with Full 
Religous Exemption]]/Table5[[#This Row],['# of Students]]</f>
        <v>1.7208413001912046E-2</v>
      </c>
      <c r="I37">
        <v>1</v>
      </c>
      <c r="J37" s="3">
        <f>Table5[[#This Row],['# UTD with 
Partial Religious Exemption]]/Table5[[#This Row],['# of Students]]</f>
        <v>1.9120458891013384E-3</v>
      </c>
    </row>
    <row r="38" spans="1:10" x14ac:dyDescent="0.35">
      <c r="A38" t="s">
        <v>37</v>
      </c>
      <c r="B38">
        <v>7287</v>
      </c>
      <c r="C38">
        <v>7</v>
      </c>
      <c r="D38" s="3">
        <f>Table5[[#This Row],['# with Full 
Medical Exemption]]/Table5[[#This Row],['# of Students]]</f>
        <v>9.6061479346781938E-4</v>
      </c>
      <c r="E38">
        <v>1</v>
      </c>
      <c r="F38" s="3">
        <f>Table5[[#This Row],['# UTD with 
Partial Medical Exemption]]/Table5[[#This Row],['# of Students]]</f>
        <v>1.3723068478111705E-4</v>
      </c>
      <c r="G38">
        <v>72</v>
      </c>
      <c r="H38" s="3">
        <f>Table5[[#This Row],['# with Full 
Religous Exemption]]/Table5[[#This Row],['# of Students]]</f>
        <v>9.8806093042404283E-3</v>
      </c>
      <c r="I38">
        <v>0</v>
      </c>
      <c r="J38" s="3">
        <f>Table5[[#This Row],['# UTD with 
Partial Religious Exemption]]/Table5[[#This Row],['# of Students]]</f>
        <v>0</v>
      </c>
    </row>
    <row r="39" spans="1:10" x14ac:dyDescent="0.35">
      <c r="A39" t="s">
        <v>38</v>
      </c>
      <c r="B39">
        <v>163</v>
      </c>
      <c r="C39">
        <v>0</v>
      </c>
      <c r="D39" s="3">
        <f>Table5[[#This Row],['# with Full 
Medical Exemption]]/Table5[[#This Row],['# of Students]]</f>
        <v>0</v>
      </c>
      <c r="E39">
        <v>0</v>
      </c>
      <c r="F39" s="3">
        <f>Table5[[#This Row],['# UTD with 
Partial Medical Exemption]]/Table5[[#This Row],['# of Students]]</f>
        <v>0</v>
      </c>
      <c r="G39">
        <v>3</v>
      </c>
      <c r="H39" s="3">
        <f>Table5[[#This Row],['# with Full 
Religous Exemption]]/Table5[[#This Row],['# of Students]]</f>
        <v>1.8404907975460124E-2</v>
      </c>
      <c r="I39">
        <v>0</v>
      </c>
      <c r="J39" s="3">
        <f>Table5[[#This Row],['# UTD with 
Partial Religious Exemption]]/Table5[[#This Row],['# of Students]]</f>
        <v>0</v>
      </c>
    </row>
    <row r="40" spans="1:10" x14ac:dyDescent="0.35">
      <c r="A40" t="s">
        <v>39</v>
      </c>
      <c r="B40">
        <v>1012</v>
      </c>
      <c r="C40">
        <v>1</v>
      </c>
      <c r="D40" s="3">
        <f>Table5[[#This Row],['# with Full 
Medical Exemption]]/Table5[[#This Row],['# of Students]]</f>
        <v>9.8814229249011851E-4</v>
      </c>
      <c r="E40">
        <v>1</v>
      </c>
      <c r="F40" s="3">
        <f>Table5[[#This Row],['# UTD with 
Partial Medical Exemption]]/Table5[[#This Row],['# of Students]]</f>
        <v>9.8814229249011851E-4</v>
      </c>
      <c r="G40">
        <v>19</v>
      </c>
      <c r="H40" s="3">
        <f>Table5[[#This Row],['# with Full 
Religous Exemption]]/Table5[[#This Row],['# of Students]]</f>
        <v>1.8774703557312252E-2</v>
      </c>
      <c r="I40">
        <v>0</v>
      </c>
      <c r="J40" s="3">
        <f>Table5[[#This Row],['# UTD with 
Partial Religious Exemption]]/Table5[[#This Row],['# of Students]]</f>
        <v>0</v>
      </c>
    </row>
    <row r="41" spans="1:10" x14ac:dyDescent="0.35">
      <c r="A41" t="s">
        <v>40</v>
      </c>
      <c r="B41">
        <v>292</v>
      </c>
      <c r="C41">
        <v>0</v>
      </c>
      <c r="D41" s="3">
        <f>Table5[[#This Row],['# with Full 
Medical Exemption]]/Table5[[#This Row],['# of Students]]</f>
        <v>0</v>
      </c>
      <c r="E41">
        <v>0</v>
      </c>
      <c r="F41" s="3">
        <f>Table5[[#This Row],['# UTD with 
Partial Medical Exemption]]/Table5[[#This Row],['# of Students]]</f>
        <v>0</v>
      </c>
      <c r="G41">
        <v>2</v>
      </c>
      <c r="H41" s="3">
        <f>Table5[[#This Row],['# with Full 
Religous Exemption]]/Table5[[#This Row],['# of Students]]</f>
        <v>6.8493150684931503E-3</v>
      </c>
      <c r="I41">
        <v>0</v>
      </c>
      <c r="J41" s="3">
        <f>Table5[[#This Row],['# UTD with 
Partial Religious Exemption]]/Table5[[#This Row],['# of Students]]</f>
        <v>0</v>
      </c>
    </row>
    <row r="42" spans="1:10" x14ac:dyDescent="0.35">
      <c r="A42" t="s">
        <v>41</v>
      </c>
      <c r="B42">
        <v>1959</v>
      </c>
      <c r="C42">
        <v>0</v>
      </c>
      <c r="D42" s="3">
        <f>Table5[[#This Row],['# with Full 
Medical Exemption]]/Table5[[#This Row],['# of Students]]</f>
        <v>0</v>
      </c>
      <c r="E42">
        <v>0</v>
      </c>
      <c r="F42" s="3">
        <f>Table5[[#This Row],['# UTD with 
Partial Medical Exemption]]/Table5[[#This Row],['# of Students]]</f>
        <v>0</v>
      </c>
      <c r="G42">
        <v>28</v>
      </c>
      <c r="H42" s="3">
        <f>Table5[[#This Row],['# with Full 
Religous Exemption]]/Table5[[#This Row],['# of Students]]</f>
        <v>1.4293006636038795E-2</v>
      </c>
      <c r="I42">
        <v>0</v>
      </c>
      <c r="J42" s="3">
        <f>Table5[[#This Row],['# UTD with 
Partial Religious Exemption]]/Table5[[#This Row],['# of Students]]</f>
        <v>0</v>
      </c>
    </row>
    <row r="43" spans="1:10" x14ac:dyDescent="0.35">
      <c r="A43" t="s">
        <v>42</v>
      </c>
      <c r="B43">
        <v>1074</v>
      </c>
      <c r="C43">
        <v>2</v>
      </c>
      <c r="D43" s="3">
        <f>Table5[[#This Row],['# with Full 
Medical Exemption]]/Table5[[#This Row],['# of Students]]</f>
        <v>1.8621973929236499E-3</v>
      </c>
      <c r="E43">
        <v>1</v>
      </c>
      <c r="F43" s="3">
        <f>Table5[[#This Row],['# UTD with 
Partial Medical Exemption]]/Table5[[#This Row],['# of Students]]</f>
        <v>9.3109869646182495E-4</v>
      </c>
      <c r="G43">
        <v>11</v>
      </c>
      <c r="H43" s="3">
        <f>Table5[[#This Row],['# with Full 
Religous Exemption]]/Table5[[#This Row],['# of Students]]</f>
        <v>1.0242085661080074E-2</v>
      </c>
      <c r="I43">
        <v>0</v>
      </c>
      <c r="J43" s="3">
        <f>Table5[[#This Row],['# UTD with 
Partial Religious Exemption]]/Table5[[#This Row],['# of Students]]</f>
        <v>0</v>
      </c>
    </row>
    <row r="44" spans="1:10" x14ac:dyDescent="0.35">
      <c r="A44" t="s">
        <v>43</v>
      </c>
      <c r="B44">
        <v>129</v>
      </c>
      <c r="C44">
        <v>0</v>
      </c>
      <c r="D44" s="3">
        <f>Table5[[#This Row],['# with Full 
Medical Exemption]]/Table5[[#This Row],['# of Students]]</f>
        <v>0</v>
      </c>
      <c r="E44">
        <v>0</v>
      </c>
      <c r="F44" s="3">
        <f>Table5[[#This Row],['# UTD with 
Partial Medical Exemption]]/Table5[[#This Row],['# of Students]]</f>
        <v>0</v>
      </c>
      <c r="G44">
        <v>1</v>
      </c>
      <c r="H44" s="3">
        <f>Table5[[#This Row],['# with Full 
Religous Exemption]]/Table5[[#This Row],['# of Students]]</f>
        <v>7.7519379844961239E-3</v>
      </c>
      <c r="I44">
        <v>0</v>
      </c>
      <c r="J44" s="3">
        <f>Table5[[#This Row],['# UTD with 
Partial Religious Exemption]]/Table5[[#This Row],['# of Students]]</f>
        <v>0</v>
      </c>
    </row>
    <row r="45" spans="1:10" x14ac:dyDescent="0.35">
      <c r="A45" t="s">
        <v>44</v>
      </c>
      <c r="B45">
        <v>83</v>
      </c>
      <c r="C45">
        <v>0</v>
      </c>
      <c r="D45" s="3">
        <f>Table5[[#This Row],['# with Full 
Medical Exemption]]/Table5[[#This Row],['# of Students]]</f>
        <v>0</v>
      </c>
      <c r="E45">
        <v>0</v>
      </c>
      <c r="F45" s="3">
        <f>Table5[[#This Row],['# UTD with 
Partial Medical Exemption]]/Table5[[#This Row],['# of Students]]</f>
        <v>0</v>
      </c>
      <c r="G45">
        <v>0</v>
      </c>
      <c r="H45" s="3">
        <f>Table5[[#This Row],['# with Full 
Religous Exemption]]/Table5[[#This Row],['# of Students]]</f>
        <v>0</v>
      </c>
      <c r="I45">
        <v>0</v>
      </c>
      <c r="J45" s="3">
        <f>Table5[[#This Row],['# UTD with 
Partial Religious Exemption]]/Table5[[#This Row],['# of Students]]</f>
        <v>0</v>
      </c>
    </row>
    <row r="46" spans="1:10" x14ac:dyDescent="0.35">
      <c r="A46" t="s">
        <v>45</v>
      </c>
      <c r="B46">
        <v>4677</v>
      </c>
      <c r="C46">
        <v>3</v>
      </c>
      <c r="D46" s="3">
        <f>Table5[[#This Row],['# with Full 
Medical Exemption]]/Table5[[#This Row],['# of Students]]</f>
        <v>6.4143681847338033E-4</v>
      </c>
      <c r="E46">
        <v>0</v>
      </c>
      <c r="F46" s="3">
        <f>Table5[[#This Row],['# UTD with 
Partial Medical Exemption]]/Table5[[#This Row],['# of Students]]</f>
        <v>0</v>
      </c>
      <c r="G46">
        <v>52</v>
      </c>
      <c r="H46" s="3">
        <f>Table5[[#This Row],['# with Full 
Religous Exemption]]/Table5[[#This Row],['# of Students]]</f>
        <v>1.1118238186871927E-2</v>
      </c>
      <c r="I46">
        <v>0</v>
      </c>
      <c r="J46" s="3">
        <f>Table5[[#This Row],['# UTD with 
Partial Religious Exemption]]/Table5[[#This Row],['# of Students]]</f>
        <v>0</v>
      </c>
    </row>
    <row r="47" spans="1:10" x14ac:dyDescent="0.35">
      <c r="A47" t="s">
        <v>46</v>
      </c>
      <c r="B47">
        <v>213</v>
      </c>
      <c r="C47">
        <v>0</v>
      </c>
      <c r="D47" s="3">
        <f>Table5[[#This Row],['# with Full 
Medical Exemption]]/Table5[[#This Row],['# of Students]]</f>
        <v>0</v>
      </c>
      <c r="E47">
        <v>0</v>
      </c>
      <c r="F47" s="3">
        <f>Table5[[#This Row],['# UTD with 
Partial Medical Exemption]]/Table5[[#This Row],['# of Students]]</f>
        <v>0</v>
      </c>
      <c r="G47">
        <v>2</v>
      </c>
      <c r="H47" s="3">
        <f>Table5[[#This Row],['# with Full 
Religous Exemption]]/Table5[[#This Row],['# of Students]]</f>
        <v>9.3896713615023476E-3</v>
      </c>
      <c r="I47">
        <v>0</v>
      </c>
      <c r="J47" s="3">
        <f>Table5[[#This Row],['# UTD with 
Partial Religious Exemption]]/Table5[[#This Row],['# of Students]]</f>
        <v>0</v>
      </c>
    </row>
    <row r="48" spans="1:10" x14ac:dyDescent="0.35">
      <c r="A48" t="s">
        <v>47</v>
      </c>
      <c r="B48">
        <v>337</v>
      </c>
      <c r="C48">
        <v>0</v>
      </c>
      <c r="D48" s="3">
        <f>Table5[[#This Row],['# with Full 
Medical Exemption]]/Table5[[#This Row],['# of Students]]</f>
        <v>0</v>
      </c>
      <c r="E48">
        <v>0</v>
      </c>
      <c r="F48" s="3">
        <f>Table5[[#This Row],['# UTD with 
Partial Medical Exemption]]/Table5[[#This Row],['# of Students]]</f>
        <v>0</v>
      </c>
      <c r="G48">
        <v>7</v>
      </c>
      <c r="H48" s="3">
        <f>Table5[[#This Row],['# with Full 
Religous Exemption]]/Table5[[#This Row],['# of Students]]</f>
        <v>2.0771513353115726E-2</v>
      </c>
      <c r="I48">
        <v>0</v>
      </c>
      <c r="J48" s="3">
        <f>Table5[[#This Row],['# UTD with 
Partial Religious Exemption]]/Table5[[#This Row],['# of Students]]</f>
        <v>0</v>
      </c>
    </row>
    <row r="49" spans="1:10" x14ac:dyDescent="0.35">
      <c r="A49" t="s">
        <v>48</v>
      </c>
      <c r="B49">
        <v>1371</v>
      </c>
      <c r="C49">
        <v>1</v>
      </c>
      <c r="D49" s="3">
        <f>Table5[[#This Row],['# with Full 
Medical Exemption]]/Table5[[#This Row],['# of Students]]</f>
        <v>7.2939460247994166E-4</v>
      </c>
      <c r="E49">
        <v>0</v>
      </c>
      <c r="F49" s="3">
        <f>Table5[[#This Row],['# UTD with 
Partial Medical Exemption]]/Table5[[#This Row],['# of Students]]</f>
        <v>0</v>
      </c>
      <c r="G49">
        <v>22</v>
      </c>
      <c r="H49" s="3">
        <f>Table5[[#This Row],['# with Full 
Religous Exemption]]/Table5[[#This Row],['# of Students]]</f>
        <v>1.6046681254558718E-2</v>
      </c>
      <c r="I49">
        <v>0</v>
      </c>
      <c r="J49" s="3">
        <f>Table5[[#This Row],['# UTD with 
Partial Religious Exemption]]/Table5[[#This Row],['# of Students]]</f>
        <v>0</v>
      </c>
    </row>
    <row r="50" spans="1:10" x14ac:dyDescent="0.35">
      <c r="A50" t="s">
        <v>49</v>
      </c>
      <c r="B50">
        <v>4900</v>
      </c>
      <c r="C50">
        <v>1</v>
      </c>
      <c r="D50" s="3">
        <f>Table5[[#This Row],['# with Full 
Medical Exemption]]/Table5[[#This Row],['# of Students]]</f>
        <v>2.0408163265306123E-4</v>
      </c>
      <c r="E50">
        <v>0</v>
      </c>
      <c r="F50" s="3">
        <f>Table5[[#This Row],['# UTD with 
Partial Medical Exemption]]/Table5[[#This Row],['# of Students]]</f>
        <v>0</v>
      </c>
      <c r="G50">
        <v>95</v>
      </c>
      <c r="H50" s="3">
        <f>Table5[[#This Row],['# with Full 
Religous Exemption]]/Table5[[#This Row],['# of Students]]</f>
        <v>1.9387755102040816E-2</v>
      </c>
      <c r="I50">
        <v>0</v>
      </c>
      <c r="J50" s="3">
        <f>Table5[[#This Row],['# UTD with 
Partial Religious Exemption]]/Table5[[#This Row],['# of Students]]</f>
        <v>0</v>
      </c>
    </row>
    <row r="51" spans="1:10" x14ac:dyDescent="0.35">
      <c r="A51" t="s">
        <v>50</v>
      </c>
      <c r="B51">
        <v>263</v>
      </c>
      <c r="C51">
        <v>0</v>
      </c>
      <c r="D51" s="3">
        <f>Table5[[#This Row],['# with Full 
Medical Exemption]]/Table5[[#This Row],['# of Students]]</f>
        <v>0</v>
      </c>
      <c r="E51">
        <v>0</v>
      </c>
      <c r="F51" s="3">
        <f>Table5[[#This Row],['# UTD with 
Partial Medical Exemption]]/Table5[[#This Row],['# of Students]]</f>
        <v>0</v>
      </c>
      <c r="G51">
        <v>4</v>
      </c>
      <c r="H51" s="3">
        <f>Table5[[#This Row],['# with Full 
Religous Exemption]]/Table5[[#This Row],['# of Students]]</f>
        <v>1.5209125475285171E-2</v>
      </c>
      <c r="I51">
        <v>0</v>
      </c>
      <c r="J51" s="3">
        <f>Table5[[#This Row],['# UTD with 
Partial Religious Exemption]]/Table5[[#This Row],['# of Students]]</f>
        <v>0</v>
      </c>
    </row>
    <row r="52" spans="1:10" x14ac:dyDescent="0.35">
      <c r="A52" t="s">
        <v>51</v>
      </c>
      <c r="B52">
        <v>2312</v>
      </c>
      <c r="C52">
        <v>0</v>
      </c>
      <c r="D52" s="3">
        <f>Table5[[#This Row],['# with Full 
Medical Exemption]]/Table5[[#This Row],['# of Students]]</f>
        <v>0</v>
      </c>
      <c r="E52">
        <v>0</v>
      </c>
      <c r="F52" s="3">
        <f>Table5[[#This Row],['# UTD with 
Partial Medical Exemption]]/Table5[[#This Row],['# of Students]]</f>
        <v>0</v>
      </c>
      <c r="G52">
        <v>13</v>
      </c>
      <c r="H52" s="3">
        <f>Table5[[#This Row],['# with Full 
Religous Exemption]]/Table5[[#This Row],['# of Students]]</f>
        <v>5.6228373702422148E-3</v>
      </c>
      <c r="I52">
        <v>0</v>
      </c>
      <c r="J52" s="3">
        <f>Table5[[#This Row],['# UTD with 
Partial Religious Exemption]]/Table5[[#This Row],['# of Students]]</f>
        <v>0</v>
      </c>
    </row>
    <row r="53" spans="1:10" x14ac:dyDescent="0.35">
      <c r="A53" t="s">
        <v>52</v>
      </c>
      <c r="B53">
        <v>1320</v>
      </c>
      <c r="C53">
        <v>0</v>
      </c>
      <c r="D53" s="3">
        <f>Table5[[#This Row],['# with Full 
Medical Exemption]]/Table5[[#This Row],['# of Students]]</f>
        <v>0</v>
      </c>
      <c r="E53">
        <v>0</v>
      </c>
      <c r="F53" s="3">
        <f>Table5[[#This Row],['# UTD with 
Partial Medical Exemption]]/Table5[[#This Row],['# of Students]]</f>
        <v>0</v>
      </c>
      <c r="G53">
        <v>22</v>
      </c>
      <c r="H53" s="3">
        <f>Table5[[#This Row],['# with Full 
Religous Exemption]]/Table5[[#This Row],['# of Students]]</f>
        <v>1.6666666666666666E-2</v>
      </c>
      <c r="I53">
        <v>0</v>
      </c>
      <c r="J53" s="3">
        <f>Table5[[#This Row],['# UTD with 
Partial Religious Exemption]]/Table5[[#This Row],['# of Students]]</f>
        <v>0</v>
      </c>
    </row>
    <row r="54" spans="1:10" x14ac:dyDescent="0.35">
      <c r="A54" t="s">
        <v>53</v>
      </c>
      <c r="B54">
        <v>59</v>
      </c>
      <c r="C54">
        <v>0</v>
      </c>
      <c r="D54" s="3">
        <f>Table5[[#This Row],['# with Full 
Medical Exemption]]/Table5[[#This Row],['# of Students]]</f>
        <v>0</v>
      </c>
      <c r="E54">
        <v>0</v>
      </c>
      <c r="F54" s="3">
        <f>Table5[[#This Row],['# UTD with 
Partial Medical Exemption]]/Table5[[#This Row],['# of Students]]</f>
        <v>0</v>
      </c>
      <c r="G54">
        <v>0</v>
      </c>
      <c r="H54" s="3">
        <f>Table5[[#This Row],['# with Full 
Religous Exemption]]/Table5[[#This Row],['# of Students]]</f>
        <v>0</v>
      </c>
      <c r="I54">
        <v>0</v>
      </c>
      <c r="J54" s="3">
        <f>Table5[[#This Row],['# UTD with 
Partial Religious Exemption]]/Table5[[#This Row],['# of Students]]</f>
        <v>0</v>
      </c>
    </row>
    <row r="55" spans="1:10" x14ac:dyDescent="0.35">
      <c r="A55" t="s">
        <v>54</v>
      </c>
      <c r="B55">
        <v>187</v>
      </c>
      <c r="C55">
        <v>0</v>
      </c>
      <c r="D55" s="3">
        <f>Table5[[#This Row],['# with Full 
Medical Exemption]]/Table5[[#This Row],['# of Students]]</f>
        <v>0</v>
      </c>
      <c r="E55">
        <v>0</v>
      </c>
      <c r="F55" s="3">
        <f>Table5[[#This Row],['# UTD with 
Partial Medical Exemption]]/Table5[[#This Row],['# of Students]]</f>
        <v>0</v>
      </c>
      <c r="G55">
        <v>2</v>
      </c>
      <c r="H55" s="3">
        <f>Table5[[#This Row],['# with Full 
Religous Exemption]]/Table5[[#This Row],['# of Students]]</f>
        <v>1.06951871657754E-2</v>
      </c>
      <c r="I55">
        <v>0</v>
      </c>
      <c r="J55" s="3">
        <f>Table5[[#This Row],['# UTD with 
Partial Religious Exemption]]/Table5[[#This Row],['# of Students]]</f>
        <v>0</v>
      </c>
    </row>
    <row r="56" spans="1:10" x14ac:dyDescent="0.35">
      <c r="A56" t="s">
        <v>55</v>
      </c>
      <c r="B56">
        <v>256</v>
      </c>
      <c r="C56">
        <v>0</v>
      </c>
      <c r="D56" s="3">
        <f>Table5[[#This Row],['# with Full 
Medical Exemption]]/Table5[[#This Row],['# of Students]]</f>
        <v>0</v>
      </c>
      <c r="E56">
        <v>0</v>
      </c>
      <c r="F56" s="3">
        <f>Table5[[#This Row],['# UTD with 
Partial Medical Exemption]]/Table5[[#This Row],['# of Students]]</f>
        <v>0</v>
      </c>
      <c r="G56">
        <v>1</v>
      </c>
      <c r="H56" s="3">
        <f>Table5[[#This Row],['# with Full 
Religous Exemption]]/Table5[[#This Row],['# of Students]]</f>
        <v>3.90625E-3</v>
      </c>
      <c r="I56">
        <v>0</v>
      </c>
      <c r="J56" s="3">
        <f>Table5[[#This Row],['# UTD with 
Partial Religious Exemption]]/Table5[[#This Row],['# of Students]]</f>
        <v>0</v>
      </c>
    </row>
    <row r="57" spans="1:10" x14ac:dyDescent="0.35">
      <c r="A57" t="s">
        <v>56</v>
      </c>
      <c r="B57">
        <v>266</v>
      </c>
      <c r="C57">
        <v>0</v>
      </c>
      <c r="D57" s="3">
        <f>Table5[[#This Row],['# with Full 
Medical Exemption]]/Table5[[#This Row],['# of Students]]</f>
        <v>0</v>
      </c>
      <c r="E57">
        <v>0</v>
      </c>
      <c r="F57" s="3">
        <f>Table5[[#This Row],['# UTD with 
Partial Medical Exemption]]/Table5[[#This Row],['# of Students]]</f>
        <v>0</v>
      </c>
      <c r="G57">
        <v>0</v>
      </c>
      <c r="H57" s="3">
        <f>Table5[[#This Row],['# with Full 
Religous Exemption]]/Table5[[#This Row],['# of Students]]</f>
        <v>0</v>
      </c>
      <c r="I57">
        <v>0</v>
      </c>
      <c r="J57" s="3">
        <f>Table5[[#This Row],['# UTD with 
Partial Religious Exemption]]/Table5[[#This Row],['# of Students]]</f>
        <v>0</v>
      </c>
    </row>
    <row r="58" spans="1:10" x14ac:dyDescent="0.35">
      <c r="A58" t="s">
        <v>57</v>
      </c>
      <c r="B58">
        <v>679</v>
      </c>
      <c r="C58">
        <v>0</v>
      </c>
      <c r="D58" s="3">
        <f>Table5[[#This Row],['# with Full 
Medical Exemption]]/Table5[[#This Row],['# of Students]]</f>
        <v>0</v>
      </c>
      <c r="E58">
        <v>0</v>
      </c>
      <c r="F58" s="3">
        <f>Table5[[#This Row],['# UTD with 
Partial Medical Exemption]]/Table5[[#This Row],['# of Students]]</f>
        <v>0</v>
      </c>
      <c r="G58">
        <v>3</v>
      </c>
      <c r="H58" s="3">
        <f>Table5[[#This Row],['# with Full 
Religous Exemption]]/Table5[[#This Row],['# of Students]]</f>
        <v>4.418262150220913E-3</v>
      </c>
      <c r="I58">
        <v>0</v>
      </c>
      <c r="J58" s="3">
        <f>Table5[[#This Row],['# UTD with 
Partial Religious Exemption]]/Table5[[#This Row],['# of Students]]</f>
        <v>0</v>
      </c>
    </row>
    <row r="59" spans="1:10" x14ac:dyDescent="0.35">
      <c r="A59" t="s">
        <v>58</v>
      </c>
      <c r="B59">
        <v>2725</v>
      </c>
      <c r="C59">
        <v>1</v>
      </c>
      <c r="D59" s="3">
        <f>Table5[[#This Row],['# with Full 
Medical Exemption]]/Table5[[#This Row],['# of Students]]</f>
        <v>3.6697247706422018E-4</v>
      </c>
      <c r="E59">
        <v>3</v>
      </c>
      <c r="F59" s="3">
        <f>Table5[[#This Row],['# UTD with 
Partial Medical Exemption]]/Table5[[#This Row],['# of Students]]</f>
        <v>1.1009174311926607E-3</v>
      </c>
      <c r="G59">
        <v>49</v>
      </c>
      <c r="H59" s="3">
        <f>Table5[[#This Row],['# with Full 
Religous Exemption]]/Table5[[#This Row],['# of Students]]</f>
        <v>1.7981651376146789E-2</v>
      </c>
      <c r="I59">
        <v>0</v>
      </c>
      <c r="J59" s="3">
        <f>Table5[[#This Row],['# UTD with 
Partial Religious Exemption]]/Table5[[#This Row],['# of Students]]</f>
        <v>0</v>
      </c>
    </row>
    <row r="60" spans="1:10" x14ac:dyDescent="0.35">
      <c r="A60" t="s">
        <v>77</v>
      </c>
      <c r="B60">
        <v>1108</v>
      </c>
      <c r="C60">
        <v>2</v>
      </c>
      <c r="D60" s="3">
        <f>Table5[[#This Row],['# with Full 
Medical Exemption]]/Table5[[#This Row],['# of Students]]</f>
        <v>1.8050541516245488E-3</v>
      </c>
      <c r="E60">
        <v>0</v>
      </c>
      <c r="F60" s="3">
        <f>Table5[[#This Row],['# UTD with 
Partial Medical Exemption]]/Table5[[#This Row],['# of Students]]</f>
        <v>0</v>
      </c>
      <c r="G60">
        <v>18</v>
      </c>
      <c r="H60" s="3">
        <f>Table5[[#This Row],['# with Full 
Religous Exemption]]/Table5[[#This Row],['# of Students]]</f>
        <v>1.6245487364620937E-2</v>
      </c>
      <c r="I60">
        <v>0</v>
      </c>
      <c r="J60" s="3">
        <f>Table5[[#This Row],['# UTD with 
Partial Religious Exemption]]/Table5[[#This Row],['# of Students]]</f>
        <v>0</v>
      </c>
    </row>
    <row r="61" spans="1:10" x14ac:dyDescent="0.35">
      <c r="A61" t="s">
        <v>60</v>
      </c>
      <c r="B61">
        <v>118</v>
      </c>
      <c r="C61">
        <v>0</v>
      </c>
      <c r="D61" s="3">
        <f>Table5[[#This Row],['# with Full 
Medical Exemption]]/Table5[[#This Row],['# of Students]]</f>
        <v>0</v>
      </c>
      <c r="E61">
        <v>0</v>
      </c>
      <c r="F61" s="3">
        <f>Table5[[#This Row],['# UTD with 
Partial Medical Exemption]]/Table5[[#This Row],['# of Students]]</f>
        <v>0</v>
      </c>
      <c r="G61">
        <v>0</v>
      </c>
      <c r="H61" s="3">
        <f>Table5[[#This Row],['# with Full 
Religous Exemption]]/Table5[[#This Row],['# of Students]]</f>
        <v>0</v>
      </c>
      <c r="I61">
        <v>0</v>
      </c>
      <c r="J61" s="3">
        <f>Table5[[#This Row],['# UTD with 
Partial Religious Exemption]]/Table5[[#This Row],['# of Students]]</f>
        <v>0</v>
      </c>
    </row>
    <row r="62" spans="1:10" x14ac:dyDescent="0.35">
      <c r="A62" t="s">
        <v>61</v>
      </c>
      <c r="B62">
        <v>705</v>
      </c>
      <c r="C62">
        <v>0</v>
      </c>
      <c r="D62" s="3">
        <f>Table5[[#This Row],['# with Full 
Medical Exemption]]/Table5[[#This Row],['# of Students]]</f>
        <v>0</v>
      </c>
      <c r="E62">
        <v>0</v>
      </c>
      <c r="F62" s="3">
        <f>Table5[[#This Row],['# UTD with 
Partial Medical Exemption]]/Table5[[#This Row],['# of Students]]</f>
        <v>0</v>
      </c>
      <c r="G62">
        <v>11</v>
      </c>
      <c r="H62" s="3">
        <f>Table5[[#This Row],['# with Full 
Religous Exemption]]/Table5[[#This Row],['# of Students]]</f>
        <v>1.5602836879432624E-2</v>
      </c>
      <c r="I62">
        <v>0</v>
      </c>
      <c r="J62" s="3">
        <f>Table5[[#This Row],['# UTD with 
Partial Religious Exemption]]/Table5[[#This Row],['# of Students]]</f>
        <v>0</v>
      </c>
    </row>
    <row r="63" spans="1:10" x14ac:dyDescent="0.35">
      <c r="A63" t="s">
        <v>62</v>
      </c>
      <c r="B63">
        <v>440</v>
      </c>
      <c r="C63">
        <v>0</v>
      </c>
      <c r="D63" s="3">
        <f>Table5[[#This Row],['# with Full 
Medical Exemption]]/Table5[[#This Row],['# of Students]]</f>
        <v>0</v>
      </c>
      <c r="E63">
        <v>0</v>
      </c>
      <c r="F63" s="3">
        <f>Table5[[#This Row],['# UTD with 
Partial Medical Exemption]]/Table5[[#This Row],['# of Students]]</f>
        <v>0</v>
      </c>
      <c r="G63">
        <v>6</v>
      </c>
      <c r="H63" s="3">
        <f>Table5[[#This Row],['# with Full 
Religous Exemption]]/Table5[[#This Row],['# of Students]]</f>
        <v>1.3636363636363636E-2</v>
      </c>
      <c r="I63">
        <v>0</v>
      </c>
      <c r="J63" s="3">
        <f>Table5[[#This Row],['# UTD with 
Partial Religious Exemption]]/Table5[[#This Row],['# of Students]]</f>
        <v>0</v>
      </c>
    </row>
    <row r="64" spans="1:10" x14ac:dyDescent="0.35">
      <c r="A64" t="s">
        <v>63</v>
      </c>
      <c r="B64">
        <v>2327</v>
      </c>
      <c r="C64">
        <v>0</v>
      </c>
      <c r="D64" s="3">
        <f>Table5[[#This Row],['# with Full 
Medical Exemption]]/Table5[[#This Row],['# of Students]]</f>
        <v>0</v>
      </c>
      <c r="E64">
        <v>0</v>
      </c>
      <c r="F64" s="3">
        <f>Table5[[#This Row],['# UTD with 
Partial Medical Exemption]]/Table5[[#This Row],['# of Students]]</f>
        <v>0</v>
      </c>
      <c r="G64">
        <v>26</v>
      </c>
      <c r="H64" s="3">
        <f>Table5[[#This Row],['# with Full 
Religous Exemption]]/Table5[[#This Row],['# of Students]]</f>
        <v>1.11731843575419E-2</v>
      </c>
      <c r="I64">
        <v>0</v>
      </c>
      <c r="J64" s="3">
        <f>Table5[[#This Row],['# UTD with 
Partial Religious Exemption]]/Table5[[#This Row],['# of Students]]</f>
        <v>0</v>
      </c>
    </row>
    <row r="65" spans="1:10" x14ac:dyDescent="0.35">
      <c r="A65" t="s">
        <v>64</v>
      </c>
      <c r="B65">
        <v>690</v>
      </c>
      <c r="C65">
        <v>1</v>
      </c>
      <c r="D65" s="3">
        <f>Table5[[#This Row],['# with Full 
Medical Exemption]]/Table5[[#This Row],['# of Students]]</f>
        <v>1.4492753623188406E-3</v>
      </c>
      <c r="E65">
        <v>0</v>
      </c>
      <c r="F65" s="3">
        <f>Table5[[#This Row],['# UTD with 
Partial Medical Exemption]]/Table5[[#This Row],['# of Students]]</f>
        <v>0</v>
      </c>
      <c r="G65">
        <v>7</v>
      </c>
      <c r="H65" s="3">
        <f>Table5[[#This Row],['# with Full 
Religous Exemption]]/Table5[[#This Row],['# of Students]]</f>
        <v>1.0144927536231883E-2</v>
      </c>
      <c r="I65">
        <v>0</v>
      </c>
      <c r="J65" s="3">
        <f>Table5[[#This Row],['# UTD with 
Partial Religious Exemption]]/Table5[[#This Row],['# of Students]]</f>
        <v>0</v>
      </c>
    </row>
    <row r="66" spans="1:10" x14ac:dyDescent="0.35">
      <c r="A66" t="s">
        <v>65</v>
      </c>
      <c r="B66">
        <v>199</v>
      </c>
      <c r="C66">
        <v>1</v>
      </c>
      <c r="D66" s="3">
        <f>Table5[[#This Row],['# with Full 
Medical Exemption]]/Table5[[#This Row],['# of Students]]</f>
        <v>5.0251256281407036E-3</v>
      </c>
      <c r="E66">
        <v>0</v>
      </c>
      <c r="F66" s="3">
        <f>Table5[[#This Row],['# UTD with 
Partial Medical Exemption]]/Table5[[#This Row],['# of Students]]</f>
        <v>0</v>
      </c>
      <c r="G66">
        <v>1</v>
      </c>
      <c r="H66" s="3">
        <f>Table5[[#This Row],['# with Full 
Religous Exemption]]/Table5[[#This Row],['# of Students]]</f>
        <v>5.0251256281407036E-3</v>
      </c>
      <c r="I66">
        <v>0</v>
      </c>
      <c r="J66" s="3">
        <f>Table5[[#This Row],['# UTD with 
Partial Religious Exemption]]/Table5[[#This Row],['# of Students]]</f>
        <v>0</v>
      </c>
    </row>
    <row r="67" spans="1:10" x14ac:dyDescent="0.35">
      <c r="A67" t="s">
        <v>66</v>
      </c>
      <c r="B67">
        <v>82</v>
      </c>
      <c r="C67">
        <v>0</v>
      </c>
      <c r="D67" s="3">
        <f>Table5[[#This Row],['# with Full 
Medical Exemption]]/Table5[[#This Row],['# of Students]]</f>
        <v>0</v>
      </c>
      <c r="E67">
        <v>0</v>
      </c>
      <c r="F67" s="3">
        <f>Table5[[#This Row],['# UTD with 
Partial Medical Exemption]]/Table5[[#This Row],['# of Students]]</f>
        <v>0</v>
      </c>
      <c r="G67">
        <v>0</v>
      </c>
      <c r="H67" s="3">
        <f>Table5[[#This Row],['# with Full 
Religous Exemption]]/Table5[[#This Row],['# of Students]]</f>
        <v>0</v>
      </c>
      <c r="I67">
        <v>0</v>
      </c>
      <c r="J67" s="3">
        <f>Table5[[#This Row],['# UTD with 
Partial Religious Exemption]]/Table5[[#This Row],['# of Students]]</f>
        <v>0</v>
      </c>
    </row>
    <row r="68" spans="1:10" x14ac:dyDescent="0.35">
      <c r="A68" t="s">
        <v>67</v>
      </c>
      <c r="B68">
        <v>276</v>
      </c>
      <c r="C68">
        <v>0</v>
      </c>
      <c r="D68" s="3">
        <f>Table5[[#This Row],['# with Full 
Medical Exemption]]/Table5[[#This Row],['# of Students]]</f>
        <v>0</v>
      </c>
      <c r="E68">
        <v>0</v>
      </c>
      <c r="F68" s="3">
        <f>Table5[[#This Row],['# UTD with 
Partial Medical Exemption]]/Table5[[#This Row],['# of Students]]</f>
        <v>0</v>
      </c>
      <c r="G68">
        <v>6</v>
      </c>
      <c r="H68" s="3">
        <f>Table5[[#This Row],['# with Full 
Religous Exemption]]/Table5[[#This Row],['# of Students]]</f>
        <v>2.1739130434782608E-2</v>
      </c>
      <c r="I68">
        <v>0</v>
      </c>
      <c r="J68" s="3">
        <f>Table5[[#This Row],['# UTD with 
Partial Religious Exemption]]/Table5[[#This Row],['# of Students]]</f>
        <v>0</v>
      </c>
    </row>
    <row r="69" spans="1:10" x14ac:dyDescent="0.35">
      <c r="B69">
        <f>SUBTOTAL(109,Table5['# of Students])</f>
        <v>56824</v>
      </c>
      <c r="C69">
        <f>SUBTOTAL(109,Table5['# with Full 
Medical Exemption])</f>
        <v>53</v>
      </c>
      <c r="D69" s="3">
        <f>Table5[[#Totals],['# with Full 
Medical Exemption]]/Table5[[#Totals],['# of Students]]</f>
        <v>9.3270449106011544E-4</v>
      </c>
      <c r="E69">
        <f>SUBTOTAL(109,Table5['# UTD with 
Partial Medical Exemption])</f>
        <v>9</v>
      </c>
      <c r="F69" s="3">
        <f>Table5[[#Totals],['# UTD with 
Partial Medical Exemption]]/Table5[[#Totals],['# of Students]]</f>
        <v>1.5838378150077431E-4</v>
      </c>
      <c r="G69">
        <f>SUBTOTAL(109,Table5['# with Full 
Religous Exemption])</f>
        <v>776</v>
      </c>
      <c r="H69" s="3">
        <f>Table5[[#Totals],['# with Full 
Religous Exemption]]/Table5[[#Totals],['# of Students]]</f>
        <v>1.3656201604955653E-2</v>
      </c>
      <c r="I69">
        <f>SUBTOTAL(109,Table5['# UTD with 
Partial Religious Exemption])</f>
        <v>3</v>
      </c>
      <c r="J69" s="3">
        <f>Table5[[#Totals],['# UTD with 
Partial Religious Exemption]]/Table5[[#Totals],['# of Students]]</f>
        <v>5.2794593833591441E-5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01.29.2021</vt:lpstr>
      <vt:lpstr>03.16.2022</vt:lpstr>
      <vt:lpstr>12.28.2022</vt:lpstr>
      <vt:lpstr>04.09.2024</vt:lpstr>
      <vt:lpstr>03.11.2025</vt:lpstr>
    </vt:vector>
  </TitlesOfParts>
  <Company>Alabama Department of Public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Stephens, Rebecca</dc:creator>
  <cp:lastModifiedBy>Tyner, Chevonne</cp:lastModifiedBy>
  <dcterms:created xsi:type="dcterms:W3CDTF">2025-04-24T12:28:38Z</dcterms:created>
  <dcterms:modified xsi:type="dcterms:W3CDTF">2025-04-25T21:07:46Z</dcterms:modified>
</cp:coreProperties>
</file>