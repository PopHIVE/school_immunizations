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1rstep\Desktop\Ad Hoc Reports\"/>
    </mc:Choice>
  </mc:AlternateContent>
  <xr:revisionPtr revIDLastSave="0" documentId="13_ncr:1_{A6E42A66-2DFC-404F-A0CF-41BA17F8E06B}" xr6:coauthVersionLast="47" xr6:coauthVersionMax="47" xr10:uidLastSave="{00000000-0000-0000-0000-000000000000}"/>
  <bookViews>
    <workbookView xWindow="-120" yWindow="-120" windowWidth="29040" windowHeight="15720" xr2:uid="{BD0CF7A6-E75C-424F-A395-A9ED5E3096AF}"/>
  </bookViews>
  <sheets>
    <sheet name="01.27.2021" sheetId="2" r:id="rId1"/>
    <sheet name="03.09.2022" sheetId="3" r:id="rId2"/>
    <sheet name="09.14.2023" sheetId="4" r:id="rId3"/>
    <sheet name="04.05.2024" sheetId="5" r:id="rId4"/>
    <sheet name="03.10.202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D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G69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H69" i="4"/>
  <c r="F69" i="4"/>
  <c r="D69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B69" i="6"/>
  <c r="C69" i="6"/>
  <c r="E69" i="6"/>
  <c r="G69" i="6"/>
  <c r="I69" i="6"/>
  <c r="B69" i="5"/>
  <c r="C69" i="5"/>
  <c r="D69" i="5" s="1"/>
  <c r="E69" i="5"/>
  <c r="F69" i="5" s="1"/>
  <c r="I69" i="5"/>
  <c r="J69" i="5" s="1"/>
  <c r="B69" i="4"/>
  <c r="C69" i="4"/>
  <c r="E69" i="4"/>
  <c r="G69" i="4"/>
  <c r="I69" i="4"/>
  <c r="J69" i="4" s="1"/>
  <c r="B69" i="3"/>
  <c r="C69" i="3"/>
  <c r="D69" i="3" s="1"/>
  <c r="E69" i="3"/>
  <c r="F69" i="3" s="1"/>
  <c r="G69" i="3"/>
  <c r="H69" i="3" s="1"/>
  <c r="I69" i="3"/>
  <c r="J69" i="3" s="1"/>
  <c r="B69" i="2"/>
  <c r="C69" i="2"/>
  <c r="D69" i="2" s="1"/>
  <c r="E69" i="2"/>
  <c r="F69" i="2" s="1"/>
  <c r="G69" i="2"/>
  <c r="H69" i="2" s="1"/>
  <c r="I69" i="2"/>
  <c r="J69" i="2" s="1"/>
  <c r="H69" i="5" l="1"/>
</calcChain>
</file>

<file path=xl/sharedStrings.xml><?xml version="1.0" encoding="utf-8"?>
<sst xmlns="http://schemas.openxmlformats.org/spreadsheetml/2006/main" count="385" uniqueCount="78">
  <si>
    <t>County</t>
  </si>
  <si>
    <t># of Students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</si>
  <si>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</si>
  <si>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</si>
  <si>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</si>
  <si>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</si>
  <si>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</si>
  <si>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</si>
  <si>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</si>
  <si>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</si>
  <si>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</si>
  <si>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</si>
  <si>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</si>
  <si>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</si>
  <si>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</si>
  <si>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</si>
  <si>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</si>
  <si>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</si>
  <si>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</si>
  <si>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</si>
  <si>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</si>
  <si>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</si>
  <si>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</si>
  <si>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</si>
  <si>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</si>
  <si>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</si>
  <si>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</si>
  <si>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</si>
  <si>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</si>
  <si>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</si>
  <si>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</si>
  <si>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</si>
  <si>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</si>
  <si>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</si>
  <si>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</si>
  <si>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</si>
  <si>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</si>
  <si>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</si>
  <si>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</si>
  <si>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</si>
  <si>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</si>
  <si>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</si>
  <si>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</si>
  <si>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</si>
  <si>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</si>
  <si>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</si>
  <si>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</si>
  <si>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</si>
  <si>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</si>
  <si>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</si>
  <si>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</si>
  <si>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</si>
  <si>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</si>
  <si>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</si>
  <si>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</si>
  <si>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</si>
  <si>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</si>
  <si>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</si>
  <si>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</si>
  <si>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</si>
  <si>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</si>
  <si>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</si>
  <si>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</si>
  <si>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</si>
  <si>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</si>
  <si>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</si>
  <si>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</si>
  <si>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</si>
  <si>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</si>
  <si>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ST. CLAIR</t>
  </si>
  <si>
    <t># with Full 
Medical Exemption</t>
  </si>
  <si>
    <t>% with Full 
Medical Exemption</t>
  </si>
  <si>
    <t># UTD with 
Partial Medical Exemption</t>
  </si>
  <si>
    <t># UTD with 
Partial Religious Exemption</t>
  </si>
  <si>
    <t>% UTD with 
Partial Religious Exemption</t>
  </si>
  <si>
    <t>% UTD with 
Partial Medical Exemtion</t>
  </si>
  <si>
    <t># with Full 
Religous Exemption</t>
  </si>
  <si>
    <t>% with Full 
Religous Exemption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</si>
</sst>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0"/>
      <color indexed="64"/>
      <name val="Arial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3" applyNumberFormat="1" applyFont="1"/>
    <xf numFmtId="10" fontId="3" fillId="0" borderId="0" xfId="0" applyNumberFormat="1" applyFont="1"/>
    <xf numFmtId="0" fontId="0" fillId="0" borderId="0" xfId="0" applyAlignment="1">
      <alignment wrapText="1"/>
    </xf>
    <xf numFmtId="10" fontId="0" fillId="0" borderId="0" xfId="3" applyNumberFormat="1" applyFont="1" applyAlignment="1">
      <alignment wrapText="1"/>
    </xf>
  </cellXfs>
  <cellStyles count="4">
    <cellStyle name="Normal" xfId="0" builtinId="0"/>
    <cellStyle name="Normal 2" xfId="1" xr:uid="{803D6832-3D12-4A69-8448-B04EE52DDE33}"/>
    <cellStyle name="Percent" xfId="3" builtinId="5"/>
    <cellStyle name="Percent 2" xfId="2" xr:uid="{4B6520CE-F63A-4078-90A1-BC9BC6657AF5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C5BD4-FD89-49EE-B874-20BDD61625DC}" name="Table2" displayName="Table2" ref="A1:J69" totalsRowCount="1">
  <autoFilter ref="A1:J68" xr:uid="{3D3C5BD4-FD89-49EE-B874-20BDD61625DC}"/>
  <tableColumns count="10">
    <tableColumn id="1" xr3:uid="{AC530574-EBF9-43FE-9DC6-D170D9923394}" name="County"/>
    <tableColumn id="2" xr3:uid="{D27FB0F5-5C39-4899-9633-E65672EB6A52}" name="# of Students" totalsRowFunction="custom">
      <totalsRowFormula>SUBTOTAL(109,B2:B68)</totalsRowFormula>
    </tableColumn>
    <tableColumn id="4" xr3:uid="{07974BE0-4451-46F9-9CF0-B199DB61AE9C}" name="# with Full _x000a_Medical Exemption" totalsRowFunction="custom">
      <totalsRowFormula>SUBTOTAL(109,C2:C68)</totalsRowFormula>
    </tableColumn>
    <tableColumn id="9" xr3:uid="{4AC6D2FD-6A1D-4195-BD5F-65BA6A5A551B}" name="% with Full _x000a_Medical Exemption" totalsRowFunction="custom" dataDxfId="39" totalsRowDxfId="35" dataCellStyle="Percent">
      <calculatedColumnFormula>Table2[[#This Row],['# with Full 
Medical Exemption]]/Table2[[#This Row],['# of Students]]</calculatedColumnFormula>
      <totalsRowFormula>Table2[[#Totals],['# with Full 
Medical Exemption]]/Table2[[#Totals],['# of Students]]</totalsRowFormula>
    </tableColumn>
    <tableColumn id="5" xr3:uid="{AAA02146-1599-49AF-B728-88A45DB2281A}" name="# UTD with _x000a_Partial Medical Exemption" totalsRowFunction="custom">
      <totalsRowFormula>SUBTOTAL(109,E2:E68)</totalsRowFormula>
    </tableColumn>
    <tableColumn id="10" xr3:uid="{A2378302-CE76-4221-B41D-B5D8527A7ED4}" name="% UTD with _x000a_Partial Medical Exemtion" totalsRowFunction="custom" dataDxfId="38" totalsRowDxfId="34" dataCellStyle="Percent">
      <calculatedColumnFormula>Table2[[#This Row],['# UTD with 
Partial Medical Exemption]]/Table2[[#This Row],['# of Students]]</calculatedColumnFormula>
      <totalsRowFormula>Table2[[#Totals],['# UTD with 
Partial Medical Exemption]]/Table2[[#Totals],['# of Students]]</totalsRowFormula>
    </tableColumn>
    <tableColumn id="6" xr3:uid="{21D9D20B-3050-4057-90B8-2D1C22516D5C}" name="# with Full _x000a_Religous Exemption" totalsRowFunction="custom">
      <totalsRowFormula>SUBTOTAL(109,G2:G68)</totalsRowFormula>
    </tableColumn>
    <tableColumn id="11" xr3:uid="{D9ABAD02-499C-4E13-B083-E4A30440B8ED}" name="% with Full _x000a_Religous Exemption" totalsRowFunction="custom" dataDxfId="37" totalsRowDxfId="33" dataCellStyle="Percent" totalsRowCellStyle="Percent">
      <calculatedColumnFormula>Table2[[#This Row],['# with Full 
Religous Exemption]]/Table2[[#This Row],['# of Students]]</calculatedColumnFormula>
      <totalsRowFormula>Table2[[#Totals],['# with Full 
Religous Exemption]]/Table2[[#Totals],['# of Students]]</totalsRowFormula>
    </tableColumn>
    <tableColumn id="7" xr3:uid="{259073DC-47FA-41E1-915F-C4206C8FE623}" name="# UTD with _x000a_Partial Religious Exemption" totalsRowFunction="custom">
      <totalsRowFormula>SUBTOTAL(109,I2:I68)</totalsRowFormula>
    </tableColumn>
    <tableColumn id="13" xr3:uid="{3B31BDD8-350A-4F77-A01C-60A2DC77DC04}" name="% UTD with _x000a_Partial Religious Exemption" totalsRowFunction="custom" dataDxfId="36" totalsRowDxfId="32" dataCellStyle="Percent" totalsRowCellStyle="Percent">
      <calculatedColumnFormula>Table2[[#This Row],['# UTD with 
Partial Religious Exemption]]/Table2[[#This Row],['# of Students]]</calculatedColumnFormula>
      <totalsRowFormula>Table2[[#Totals],['# UTD with 
Partial Religious Exemption]]/Table2[[#Totals],['# of Students]]</totalsRow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5F147-26D1-496A-93F3-B6D242B331F6}" name="Table3" displayName="Table3" ref="A1:J69" totalsRowCount="1">
  <autoFilter ref="A1:J68" xr:uid="{C975F147-26D1-496A-93F3-B6D242B331F6}"/>
  <sortState xmlns:xlrd2="http://schemas.microsoft.com/office/spreadsheetml/2017/richdata2" ref="A2:J68">
    <sortCondition ref="A1:A68"/>
  </sortState>
  <tableColumns count="10">
    <tableColumn id="1" xr3:uid="{6B0DE1A3-8904-4574-8138-0A46BA79572F}" name="County"/>
    <tableColumn id="2" xr3:uid="{3AAC7189-C869-40DA-94DF-B677641203CD}" name="# of Students" totalsRowFunction="custom">
      <totalsRowFormula>SUBTOTAL(109,B2:B68)</totalsRowFormula>
    </tableColumn>
    <tableColumn id="4" xr3:uid="{40EA57B3-9BF4-4CFA-85F7-E828A38F7B63}" name="# with Full _x000a_Medical Exemption" totalsRowFunction="custom">
      <totalsRowFormula>SUBTOTAL(109,C2:C68)</totalsRowFormula>
    </tableColumn>
    <tableColumn id="9" xr3:uid="{4E1A43F9-F3F4-4922-855D-40EAD586C0D1}" name="% with Full _x000a_Medical Exemption" totalsRowFunction="custom" dataDxfId="31" totalsRowDxfId="27" dataCellStyle="Percent" totalsRowCellStyle="Percent">
      <calculatedColumnFormula>Table3[[#This Row],['# with Full 
Medical Exemption]]/Table3[[#This Row],['# of Students]]</calculatedColumnFormula>
      <totalsRowFormula>Table3[[#Totals],['# with Full 
Medical Exemption]]/Table3[[#Totals],['# of Students]]</totalsRowFormula>
    </tableColumn>
    <tableColumn id="5" xr3:uid="{60C14259-6053-45FE-A115-75F02DFEB970}" name="# UTD with _x000a_Partial Medical Exemption" totalsRowFunction="custom">
      <totalsRowFormula>SUBTOTAL(109,E2:E68)</totalsRowFormula>
    </tableColumn>
    <tableColumn id="10" xr3:uid="{181EEB41-6E75-4DD8-9883-5BBC8E18F22E}" name="% UTD with _x000a_Partial Medical Exemtion" totalsRowFunction="custom" dataDxfId="30" totalsRowDxfId="26" dataCellStyle="Percent" totalsRowCellStyle="Percent">
      <calculatedColumnFormula>Table3[[#This Row],['# UTD with 
Partial Medical Exemption]]/Table3[[#This Row],['# of Students]]</calculatedColumnFormula>
      <totalsRowFormula>Table3[[#Totals],['# UTD with 
Partial Medical Exemption]]/Table3[[#Totals],['# of Students]]</totalsRowFormula>
    </tableColumn>
    <tableColumn id="6" xr3:uid="{A82F04B1-1071-4F6F-901C-227165F22579}" name="# with Full _x000a_Religous Exemption" totalsRowFunction="custom">
      <totalsRowFormula>SUBTOTAL(109,G2:G68)</totalsRowFormula>
    </tableColumn>
    <tableColumn id="11" xr3:uid="{81673681-D05E-4BE6-A182-D4AB63629673}" name="% with Full _x000a_Religous Exemption" totalsRowFunction="custom" dataDxfId="29" totalsRowDxfId="25" dataCellStyle="Percent" totalsRowCellStyle="Percent">
      <calculatedColumnFormula>Table3[[#This Row],['# with Full 
Religous Exemption]]/Table3[[#This Row],['# of Students]]</calculatedColumnFormula>
      <totalsRowFormula>Table3[[#Totals],['# with Full 
Religous Exemption]]/Table3[[#Totals],['# of Students]]</totalsRowFormula>
    </tableColumn>
    <tableColumn id="7" xr3:uid="{213C45E4-554E-485A-8E79-D5F797363820}" name="# UTD with _x000a_Partial Religious Exemption" totalsRowFunction="custom">
      <totalsRowFormula>SUBTOTAL(109,I2:I68)</totalsRowFormula>
    </tableColumn>
    <tableColumn id="12" xr3:uid="{82B7AFD0-D87B-42A8-BF68-6D34B33167EC}" name="% UTD with _x000a_Partial Religious Exemption" totalsRowFunction="custom" dataDxfId="28" totalsRowDxfId="24" dataCellStyle="Percent" totalsRowCellStyle="Percent">
      <calculatedColumnFormula>Table3[[#This Row],['# UTD with 
Partial Religious Exemption]]/Table3[[#This Row],['# of Students]]</calculatedColumnFormula>
      <totalsRowFormula>Table3[[#Totals],['# UTD with 
Partial Religious Exemption]]/Table3[[#Totals],['# of Students]]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5DDDE4-0F37-4DC3-B569-9D111012F7CB}" name="Table4" displayName="Table4" ref="A1:J69" totalsRowCount="1">
  <autoFilter ref="A1:J68" xr:uid="{A55DDDE4-0F37-4DC3-B569-9D111012F7CB}"/>
  <sortState xmlns:xlrd2="http://schemas.microsoft.com/office/spreadsheetml/2017/richdata2" ref="A2:J68">
    <sortCondition ref="A1:A68"/>
  </sortState>
  <tableColumns count="10">
    <tableColumn id="1" xr3:uid="{BE0555F0-0F70-4ACD-9454-6DE68ED0B9A6}" name="County"/>
    <tableColumn id="2" xr3:uid="{EDCB74BA-ACED-44B3-8E8C-8924479C3DE1}" name="# of Students" totalsRowFunction="custom">
      <totalsRowFormula>SUBTOTAL(109,B2:B68)</totalsRowFormula>
    </tableColumn>
    <tableColumn id="4" xr3:uid="{68C85F31-ACD5-420C-8A3E-241CABDAD5D1}" name="# with Full _x000a_Medical Exemption" totalsRowFunction="custom">
      <totalsRowFormula>SUBTOTAL(109,C2:C68)</totalsRowFormula>
    </tableColumn>
    <tableColumn id="9" xr3:uid="{012ED819-2C8C-451A-A7EA-A86135A11083}" name="% with Full _x000a_Medical Exemption" totalsRowFunction="custom" dataDxfId="23" totalsRowDxfId="19" dataCellStyle="Percent" totalsRowCellStyle="Percent">
      <calculatedColumnFormula>Table4[[#This Row],['# with Full 
Medical Exemption]]/Table4[[#This Row],['# of Students]]</calculatedColumnFormula>
      <totalsRowFormula>Table4[[#Totals],['# with Full 
Medical Exemption]]/Table4[[#Totals],['# of Students]]</totalsRowFormula>
    </tableColumn>
    <tableColumn id="5" xr3:uid="{1FFE33BA-AF41-4FFE-ABBB-3A5482111F71}" name="# UTD with _x000a_Partial Medical Exemption" totalsRowFunction="custom">
      <totalsRowFormula>SUBTOTAL(109,E2:E68)</totalsRowFormula>
    </tableColumn>
    <tableColumn id="10" xr3:uid="{75743DDD-CBEA-491E-BC65-443D611EC14B}" name="% UTD with _x000a_Partial Medical Exemtion" totalsRowFunction="custom" dataDxfId="22" totalsRowDxfId="18" dataCellStyle="Percent" totalsRowCellStyle="Percent">
      <calculatedColumnFormula>Table4[[#This Row],['# UTD with 
Partial Medical Exemption]]/Table4[[#This Row],['# of Students]]</calculatedColumnFormula>
      <totalsRowFormula>Table4[[#Totals],['# UTD with 
Partial Medical Exemption]]/Table4[[#Totals],['# of Students]]</totalsRowFormula>
    </tableColumn>
    <tableColumn id="6" xr3:uid="{AF427D70-9461-4575-9F73-2B0578CD6462}" name="# with Full _x000a_Religous Exemption" totalsRowFunction="custom">
      <totalsRowFormula>SUBTOTAL(109,G2:G68)</totalsRowFormula>
    </tableColumn>
    <tableColumn id="11" xr3:uid="{1065D4E2-3891-44FF-8D37-3ED0DC78CA25}" name="% with Full _x000a_Religous Exemption" totalsRowFunction="custom" dataDxfId="21" totalsRowDxfId="17" dataCellStyle="Percent" totalsRowCellStyle="Percent">
      <calculatedColumnFormula>Table4[[#This Row],['# with Full 
Religous Exemption]]/Table4[[#This Row],['# of Students]]</calculatedColumnFormula>
      <totalsRowFormula>Table4[[#Totals],['# with Full 
Religous Exemption]]/Table4[[#Totals],['# of Students]]</totalsRowFormula>
    </tableColumn>
    <tableColumn id="7" xr3:uid="{4EB42FEF-289F-46C2-B933-814985CA708F}" name="# UTD with _x000a_Partial Religious Exemption" totalsRowFunction="custom">
      <totalsRowFormula>SUBTOTAL(109,I2:I68)</totalsRowFormula>
    </tableColumn>
    <tableColumn id="12" xr3:uid="{E7ADB097-6652-42ED-8827-980A8D0B778E}" name="% UTD with _x000a_Partial Religious Exemption" totalsRowFunction="custom" dataDxfId="20" totalsRowDxfId="16" dataCellStyle="Percent" totalsRowCellStyle="Percent">
      <calculatedColumnFormula>Table4[[#This Row],['# UTD with 
Partial Religious Exemption]]/Table4[[#This Row],['# of Students]]</calculatedColumnFormula>
      <totalsRowFormula>Table4[[#Totals],['# UTD with 
Partial Religious Exemption]]/Table4[[#Totals],['# of Students]]</totalsRow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4308D9-6B2E-41F1-8031-09447EEEC32F}" name="Table5" displayName="Table5" ref="A1:J69" totalsRowCount="1">
  <autoFilter ref="A1:J68" xr:uid="{084308D9-6B2E-41F1-8031-09447EEEC32F}"/>
  <sortState xmlns:xlrd2="http://schemas.microsoft.com/office/spreadsheetml/2017/richdata2" ref="A2:J68">
    <sortCondition ref="A1:A68"/>
  </sortState>
  <tableColumns count="10">
    <tableColumn id="1" xr3:uid="{9BC94ABE-4382-48EE-8CCB-0F8FF089FA25}" name="County"/>
    <tableColumn id="2" xr3:uid="{D5C77781-4533-4835-8026-0BCD42A4FE3F}" name="# of Students" totalsRowFunction="custom">
      <totalsRowFormula>SUBTOTAL(109,B2:B68)</totalsRowFormula>
    </tableColumn>
    <tableColumn id="4" xr3:uid="{253367FC-8DFB-414F-A291-1549F0C0F2C7}" name="# with Full _x000a_Medical Exemption" totalsRowFunction="custom">
      <totalsRowFormula>SUBTOTAL(109,C2:C68)</totalsRowFormula>
    </tableColumn>
    <tableColumn id="9" xr3:uid="{A575B2CA-C9CC-4F91-9488-F5D14F525411}" name="% with Full _x000a_Medical Exemption" totalsRowFunction="custom" dataDxfId="15" totalsRowDxfId="7" dataCellStyle="Percent" totalsRowCellStyle="Percent">
      <calculatedColumnFormula>Table5[[#This Row],['# with Full 
Medical Exemption]]/Table5[[#This Row],['# of Students]]</calculatedColumnFormula>
      <totalsRowFormula>Table5[[#Totals],['# with Full 
Medical Exemption]]/Table5[[#Totals],['# of Students]]</totalsRowFormula>
    </tableColumn>
    <tableColumn id="5" xr3:uid="{F5B43E43-54A3-4FC2-939E-78A65BCC2852}" name="# UTD with _x000a_Partial Medical Exemption" totalsRowFunction="custom">
      <totalsRowFormula>SUBTOTAL(109,E2:E68)</totalsRowFormula>
    </tableColumn>
    <tableColumn id="11" xr3:uid="{3C2EDEC7-3F5B-4C27-B2E2-6BA24C15ECD4}" name="% UTD with _x000a_Partial Medical Exemtion" totalsRowFunction="custom" dataDxfId="14" totalsRowDxfId="6" dataCellStyle="Percent" totalsRowCellStyle="Percent">
      <calculatedColumnFormula>Table5[[#This Row],['# UTD with 
Partial Medical Exemption]]/Table5[[#This Row],['# of Students]]</calculatedColumnFormula>
      <totalsRowFormula>Table5[[#Totals],['# UTD with 
Partial Medical Exemption]]/Table5[[#Totals],['# of Students]]</totalsRowFormula>
    </tableColumn>
    <tableColumn id="6" xr3:uid="{8B88804C-2F9F-47D4-95D0-1CBAA2859418}" name="# with Full _x000a_Religous Exemption" totalsRowFunction="custom">
      <totalsRowFormula>SUBTOTAL(109,G2:G68)</totalsRowFormula>
    </tableColumn>
    <tableColumn id="10" xr3:uid="{F662B6B5-3C25-447D-8900-A9757CF00018}" name="% with Full _x000a_Religous Exemption" totalsRowFunction="custom" dataDxfId="13" totalsRowDxfId="5" dataCellStyle="Percent" totalsRowCellStyle="Percent">
      <calculatedColumnFormula>Table5[[#This Row],['# with Full 
Religous Exemption]]/Table5[[#This Row],['# of Students]]</calculatedColumnFormula>
      <totalsRowFormula>Table5[[#Totals],['# with Full 
Religous Exemption]]/Table5[[#Totals],['# of Students]]</totalsRowFormula>
    </tableColumn>
    <tableColumn id="7" xr3:uid="{96DF2255-FC53-42F9-8F22-785DDB731A9C}" name="# UTD with _x000a_Partial Religious Exemption" totalsRowFunction="custom">
      <totalsRowFormula>SUBTOTAL(109,I2:I68)</totalsRowFormula>
    </tableColumn>
    <tableColumn id="12" xr3:uid="{08814B93-9B8D-4079-925B-85C588218EB9}" name="% UTD with _x000a_Partial Religious Exemption" totalsRowFunction="custom" dataDxfId="12" totalsRowDxfId="4" dataCellStyle="Percent" totalsRowCellStyle="Percent">
      <calculatedColumnFormula>Table5[[#This Row],['# UTD with 
Partial Religious Exemption]]/Table5[[#This Row],['# of Students]]</calculatedColumnFormula>
      <totalsRowFormula>Table5[[#Totals],['# UTD with 
Partial Religious Exemption]]/Table5[[#Totals],['# of Students]]</totalsRow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A5A3E6-2A06-4DB0-B38A-253FF9D7C366}" name="Table6" displayName="Table6" ref="A1:J69" totalsRowCount="1">
  <autoFilter ref="A1:J68" xr:uid="{11A5A3E6-2A06-4DB0-B38A-253FF9D7C366}"/>
  <sortState xmlns:xlrd2="http://schemas.microsoft.com/office/spreadsheetml/2017/richdata2" ref="A2:J68">
    <sortCondition ref="A1:A68"/>
  </sortState>
  <tableColumns count="10">
    <tableColumn id="1" xr3:uid="{21B6FA74-AEA1-43E5-A2AB-894A88EE0B10}" name="County"/>
    <tableColumn id="2" xr3:uid="{AF212176-73D6-4211-8DB9-210772608CDE}" name="# of Students" totalsRowFunction="custom">
      <totalsRowFormula>SUBTOTAL(109,B2:B68)</totalsRowFormula>
    </tableColumn>
    <tableColumn id="4" xr3:uid="{C6541FFC-0C6E-4E06-8BF6-0C06D1469A5C}" name="# with Full _x000a_Medical Exemption" totalsRowFunction="custom">
      <totalsRowFormula>SUBTOTAL(109,C2:C68)</totalsRowFormula>
    </tableColumn>
    <tableColumn id="9" xr3:uid="{A7153B1B-5895-4748-8E05-A3E588660B90}" name="% with Full _x000a_Medical Exemption" dataDxfId="11" totalsRowDxfId="3" dataCellStyle="Percent" totalsRowCellStyle="Percent">
      <calculatedColumnFormula>Table6[[#This Row],['# with Full 
Medical Exemption]]/Table6[[#This Row],['# of Students]]</calculatedColumnFormula>
    </tableColumn>
    <tableColumn id="5" xr3:uid="{F40B0AA1-A671-44B0-BA0A-C0916CA6BB6A}" name="# UTD with _x000a_Partial Medical Exemption" totalsRowFunction="custom">
      <totalsRowFormula>SUBTOTAL(109,E2:E68)</totalsRowFormula>
    </tableColumn>
    <tableColumn id="10" xr3:uid="{46A376DC-D20E-4F0F-AE21-7EE28C77EF82}" name="% UTD with _x000a_Partial Medical Exemtion" dataDxfId="10" totalsRowDxfId="2" dataCellStyle="Percent" totalsRowCellStyle="Percent">
      <calculatedColumnFormula>Table6[[#This Row],['# UTD with 
Partial Medical Exemption]]/Table6[[#This Row],['# of Students]]</calculatedColumnFormula>
    </tableColumn>
    <tableColumn id="6" xr3:uid="{751AFED4-7F4B-45E1-8D87-84F3C8FF2A34}" name="# with Full _x000a_Religous Exemption" totalsRowFunction="custom">
      <totalsRowFormula>SUBTOTAL(109,G2:G68)</totalsRowFormula>
    </tableColumn>
    <tableColumn id="11" xr3:uid="{6376BCED-AEFC-4362-BE0F-6178680C7978}" name="% with Full _x000a_Religous Exemption" dataDxfId="9" totalsRowDxfId="1" dataCellStyle="Percent" totalsRowCellStyle="Percent">
      <calculatedColumnFormula>Table6[[#This Row],['# with Full 
Religous Exemption]]/Table6[[#This Row],['# of Students]]</calculatedColumnFormula>
    </tableColumn>
    <tableColumn id="7" xr3:uid="{A137609C-2EC3-4F54-80EA-64BBC9A5C197}" name="# UTD with _x000a_Partial Religious Exemption" totalsRowFunction="custom">
      <totalsRowFormula>SUBTOTAL(109,I2:I68)</totalsRowFormula>
    </tableColumn>
    <tableColumn id="12" xr3:uid="{1BE8B398-4767-48D6-84E0-DC1B0545126A}" name="% UTD with _x000a_Partial Religious Exemption" dataDxfId="8" totalsRowDxfId="0" dataCellStyle="Percent" totalsRowCellStyle="Percent">
      <calculatedColumnFormula>Table6[[#This Row],['# UTD with 
Partial Religious Exemption]]/Table6[[#This Row],['# of Students]]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07E6-A0FD-4BA0-9BB7-F5BFEA3B2B7C}">
  <dimension ref="A1:J69"/>
  <sheetViews>
    <sheetView tabSelected="1" workbookViewId="0">
      <selection activeCell="B17" sqref="B17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4" width="20.7109375" bestFit="1" customWidth="1"/>
    <col min="5" max="5" width="27" bestFit="1" customWidth="1"/>
    <col min="6" max="6" width="25.85546875" style="1" bestFit="1" customWidth="1"/>
    <col min="7" max="7" width="21.140625" bestFit="1" customWidth="1"/>
    <col min="8" max="8" width="21.140625" style="1" bestFit="1" customWidth="1"/>
    <col min="9" max="9" width="28.140625" bestFit="1" customWidth="1"/>
    <col min="10" max="10" width="28.140625" style="1" bestFit="1" customWidth="1"/>
  </cols>
  <sheetData>
    <row r="1" spans="1:10" ht="30" x14ac:dyDescent="0.25">
      <c r="A1" t="s">
        <v>0</v>
      </c>
      <c r="B1" t="s">
        <v>1</v>
      </c>
      <c r="C1" s="3" t="s">
        <v>70</v>
      </c>
      <c r="D1" s="3" t="s">
        <v>71</v>
      </c>
      <c r="E1" s="3" t="s">
        <v>72</v>
      </c>
      <c r="F1" s="4" t="s">
        <v>75</v>
      </c>
      <c r="G1" s="3" t="s">
        <v>76</v>
      </c>
      <c r="H1" s="4" t="s">
        <v>77</v>
      </c>
      <c r="I1" s="3" t="s">
        <v>73</v>
      </c>
      <c r="J1" s="4" t="s">
        <v>74</v>
      </c>
    </row>
    <row r="2" spans="1:10" x14ac:dyDescent="0.25">
      <c r="A2" t="s">
        <v>2</v>
      </c>
      <c r="B2">
        <v>743</v>
      </c>
      <c r="C2">
        <v>0</v>
      </c>
      <c r="D2" s="1">
        <f>Table2[[#This Row],['# with Full 
Medical Exemption]]/Table2[[#This Row],['# of Students]]</f>
        <v>0</v>
      </c>
      <c r="E2">
        <v>0</v>
      </c>
      <c r="F2" s="1">
        <f>Table2[[#This Row],['# UTD with 
Partial Medical Exemption]]/Table2[[#This Row],['# of Students]]</f>
        <v>0</v>
      </c>
      <c r="G2">
        <v>14</v>
      </c>
      <c r="H2" s="1">
        <f>Table2[[#This Row],['# with Full 
Religous Exemption]]/Table2[[#This Row],['# of Students]]</f>
        <v>1.8842530282637954E-2</v>
      </c>
      <c r="I2">
        <v>0</v>
      </c>
      <c r="J2" s="1">
        <f>Table2[[#This Row],['# UTD with 
Partial Religious Exemption]]/Table2[[#This Row],['# of Students]]</f>
        <v>0</v>
      </c>
    </row>
    <row r="3" spans="1:10" x14ac:dyDescent="0.25">
      <c r="A3" t="s">
        <v>3</v>
      </c>
      <c r="B3">
        <v>2618</v>
      </c>
      <c r="C3">
        <v>1</v>
      </c>
      <c r="D3" s="1">
        <f>Table2[[#This Row],['# with Full 
Medical Exemption]]/Table2[[#This Row],['# of Students]]</f>
        <v>3.8197097020626432E-4</v>
      </c>
      <c r="E3">
        <v>1</v>
      </c>
      <c r="F3" s="1">
        <f>Table2[[#This Row],['# UTD with 
Partial Medical Exemption]]/Table2[[#This Row],['# of Students]]</f>
        <v>3.8197097020626432E-4</v>
      </c>
      <c r="G3">
        <v>73</v>
      </c>
      <c r="H3" s="1">
        <f>Table2[[#This Row],['# with Full 
Religous Exemption]]/Table2[[#This Row],['# of Students]]</f>
        <v>2.7883880825057297E-2</v>
      </c>
      <c r="I3">
        <v>0</v>
      </c>
      <c r="J3" s="1">
        <f>Table2[[#This Row],['# UTD with 
Partial Religious Exemption]]/Table2[[#This Row],['# of Students]]</f>
        <v>0</v>
      </c>
    </row>
    <row r="4" spans="1:10" x14ac:dyDescent="0.25">
      <c r="A4" t="s">
        <v>4</v>
      </c>
      <c r="B4">
        <v>486</v>
      </c>
      <c r="C4">
        <v>1</v>
      </c>
      <c r="D4" s="1">
        <f>Table2[[#This Row],['# with Full 
Medical Exemption]]/Table2[[#This Row],['# of Students]]</f>
        <v>2.05761316872428E-3</v>
      </c>
      <c r="E4">
        <v>1</v>
      </c>
      <c r="F4" s="1">
        <f>Table2[[#This Row],['# UTD with 
Partial Medical Exemption]]/Table2[[#This Row],['# of Students]]</f>
        <v>2.05761316872428E-3</v>
      </c>
      <c r="G4">
        <v>18</v>
      </c>
      <c r="H4" s="1">
        <f>Table2[[#This Row],['# with Full 
Religous Exemption]]/Table2[[#This Row],['# of Students]]</f>
        <v>3.7037037037037035E-2</v>
      </c>
      <c r="I4">
        <v>0</v>
      </c>
      <c r="J4" s="1">
        <f>Table2[[#This Row],['# UTD with 
Partial Religious Exemption]]/Table2[[#This Row],['# of Students]]</f>
        <v>0</v>
      </c>
    </row>
    <row r="5" spans="1:10" x14ac:dyDescent="0.25">
      <c r="A5" t="s">
        <v>5</v>
      </c>
      <c r="B5">
        <v>249</v>
      </c>
      <c r="C5">
        <v>0</v>
      </c>
      <c r="D5" s="1">
        <f>Table2[[#This Row],['# with Full 
Medical Exemption]]/Table2[[#This Row],['# of Students]]</f>
        <v>0</v>
      </c>
      <c r="E5">
        <v>0</v>
      </c>
      <c r="F5" s="1">
        <f>Table2[[#This Row],['# UTD with 
Partial Medical Exemption]]/Table2[[#This Row],['# of Students]]</f>
        <v>0</v>
      </c>
      <c r="G5">
        <v>1</v>
      </c>
      <c r="H5" s="1">
        <f>Table2[[#This Row],['# with Full 
Religous Exemption]]/Table2[[#This Row],['# of Students]]</f>
        <v>4.0160642570281121E-3</v>
      </c>
      <c r="I5">
        <v>0</v>
      </c>
      <c r="J5" s="1">
        <f>Table2[[#This Row],['# UTD with 
Partial Religious Exemption]]/Table2[[#This Row],['# of Students]]</f>
        <v>0</v>
      </c>
    </row>
    <row r="6" spans="1:10" x14ac:dyDescent="0.25">
      <c r="A6" t="s">
        <v>6</v>
      </c>
      <c r="B6">
        <v>776</v>
      </c>
      <c r="C6">
        <v>1</v>
      </c>
      <c r="D6" s="1">
        <f>Table2[[#This Row],['# with Full 
Medical Exemption]]/Table2[[#This Row],['# of Students]]</f>
        <v>1.288659793814433E-3</v>
      </c>
      <c r="E6">
        <v>0</v>
      </c>
      <c r="F6" s="1">
        <f>Table2[[#This Row],['# UTD with 
Partial Medical Exemption]]/Table2[[#This Row],['# of Students]]</f>
        <v>0</v>
      </c>
      <c r="G6">
        <v>13</v>
      </c>
      <c r="H6" s="1">
        <f>Table2[[#This Row],['# with Full 
Religous Exemption]]/Table2[[#This Row],['# of Students]]</f>
        <v>1.6752577319587628E-2</v>
      </c>
      <c r="I6">
        <v>0</v>
      </c>
      <c r="J6" s="1">
        <f>Table2[[#This Row],['# UTD with 
Partial Religious Exemption]]/Table2[[#This Row],['# of Students]]</f>
        <v>0</v>
      </c>
    </row>
    <row r="7" spans="1:10" x14ac:dyDescent="0.25">
      <c r="A7" t="s">
        <v>7</v>
      </c>
      <c r="B7">
        <v>107</v>
      </c>
      <c r="C7">
        <v>0</v>
      </c>
      <c r="D7" s="1">
        <f>Table2[[#This Row],['# with Full 
Medical Exemption]]/Table2[[#This Row],['# of Students]]</f>
        <v>0</v>
      </c>
      <c r="E7">
        <v>0</v>
      </c>
      <c r="F7" s="1">
        <f>Table2[[#This Row],['# UTD with 
Partial Medical Exemption]]/Table2[[#This Row],['# of Students]]</f>
        <v>0</v>
      </c>
      <c r="G7">
        <v>0</v>
      </c>
      <c r="H7" s="1">
        <f>Table2[[#This Row],['# with Full 
Religous Exemption]]/Table2[[#This Row],['# of Students]]</f>
        <v>0</v>
      </c>
      <c r="I7">
        <v>0</v>
      </c>
      <c r="J7" s="1">
        <f>Table2[[#This Row],['# UTD with 
Partial Religious Exemption]]/Table2[[#This Row],['# of Students]]</f>
        <v>0</v>
      </c>
    </row>
    <row r="8" spans="1:10" x14ac:dyDescent="0.25">
      <c r="A8" t="s">
        <v>8</v>
      </c>
      <c r="B8">
        <v>253</v>
      </c>
      <c r="C8">
        <v>0</v>
      </c>
      <c r="D8" s="1">
        <f>Table2[[#This Row],['# with Full 
Medical Exemption]]/Table2[[#This Row],['# of Students]]</f>
        <v>0</v>
      </c>
      <c r="E8">
        <v>0</v>
      </c>
      <c r="F8" s="1">
        <f>Table2[[#This Row],['# UTD with 
Partial Medical Exemption]]/Table2[[#This Row],['# of Students]]</f>
        <v>0</v>
      </c>
      <c r="G8">
        <v>3</v>
      </c>
      <c r="H8" s="1">
        <f>Table2[[#This Row],['# with Full 
Religous Exemption]]/Table2[[#This Row],['# of Students]]</f>
        <v>1.1857707509881422E-2</v>
      </c>
      <c r="I8">
        <v>0</v>
      </c>
      <c r="J8" s="1">
        <f>Table2[[#This Row],['# UTD with 
Partial Religious Exemption]]/Table2[[#This Row],['# of Students]]</f>
        <v>0</v>
      </c>
    </row>
    <row r="9" spans="1:10" x14ac:dyDescent="0.25">
      <c r="A9" t="s">
        <v>9</v>
      </c>
      <c r="B9">
        <v>1310</v>
      </c>
      <c r="C9">
        <v>2</v>
      </c>
      <c r="D9" s="1">
        <f>Table2[[#This Row],['# with Full 
Medical Exemption]]/Table2[[#This Row],['# of Students]]</f>
        <v>1.5267175572519084E-3</v>
      </c>
      <c r="E9">
        <v>0</v>
      </c>
      <c r="F9" s="1">
        <f>Table2[[#This Row],['# UTD with 
Partial Medical Exemption]]/Table2[[#This Row],['# of Students]]</f>
        <v>0</v>
      </c>
      <c r="G9">
        <v>17</v>
      </c>
      <c r="H9" s="1">
        <f>Table2[[#This Row],['# with Full 
Religous Exemption]]/Table2[[#This Row],['# of Students]]</f>
        <v>1.2977099236641221E-2</v>
      </c>
      <c r="I9">
        <v>1</v>
      </c>
      <c r="J9" s="1">
        <f>Table2[[#This Row],['# UTD with 
Partial Religious Exemption]]/Table2[[#This Row],['# of Students]]</f>
        <v>7.6335877862595419E-4</v>
      </c>
    </row>
    <row r="10" spans="1:10" x14ac:dyDescent="0.25">
      <c r="A10" t="s">
        <v>10</v>
      </c>
      <c r="B10">
        <v>353</v>
      </c>
      <c r="C10">
        <v>0</v>
      </c>
      <c r="D10" s="1">
        <f>Table2[[#This Row],['# with Full 
Medical Exemption]]/Table2[[#This Row],['# of Students]]</f>
        <v>0</v>
      </c>
      <c r="E10">
        <v>0</v>
      </c>
      <c r="F10" s="1">
        <f>Table2[[#This Row],['# UTD with 
Partial Medical Exemption]]/Table2[[#This Row],['# of Students]]</f>
        <v>0</v>
      </c>
      <c r="G10">
        <v>1</v>
      </c>
      <c r="H10" s="1">
        <f>Table2[[#This Row],['# with Full 
Religous Exemption]]/Table2[[#This Row],['# of Students]]</f>
        <v>2.8328611898016999E-3</v>
      </c>
      <c r="I10">
        <v>0</v>
      </c>
      <c r="J10" s="1">
        <f>Table2[[#This Row],['# UTD with 
Partial Religious Exemption]]/Table2[[#This Row],['# of Students]]</f>
        <v>0</v>
      </c>
    </row>
    <row r="11" spans="1:10" x14ac:dyDescent="0.25">
      <c r="A11" t="s">
        <v>11</v>
      </c>
      <c r="B11">
        <v>296</v>
      </c>
      <c r="C11">
        <v>0</v>
      </c>
      <c r="D11" s="1">
        <f>Table2[[#This Row],['# with Full 
Medical Exemption]]/Table2[[#This Row],['# of Students]]</f>
        <v>0</v>
      </c>
      <c r="E11">
        <v>0</v>
      </c>
      <c r="F11" s="1">
        <f>Table2[[#This Row],['# UTD with 
Partial Medical Exemption]]/Table2[[#This Row],['# of Students]]</f>
        <v>0</v>
      </c>
      <c r="G11">
        <v>4</v>
      </c>
      <c r="H11" s="1">
        <f>Table2[[#This Row],['# with Full 
Religous Exemption]]/Table2[[#This Row],['# of Students]]</f>
        <v>1.3513513513513514E-2</v>
      </c>
      <c r="I11">
        <v>0</v>
      </c>
      <c r="J11" s="1">
        <f>Table2[[#This Row],['# UTD with 
Partial Religious Exemption]]/Table2[[#This Row],['# of Students]]</f>
        <v>0</v>
      </c>
    </row>
    <row r="12" spans="1:10" x14ac:dyDescent="0.25">
      <c r="A12" t="s">
        <v>12</v>
      </c>
      <c r="B12">
        <v>481</v>
      </c>
      <c r="C12">
        <v>0</v>
      </c>
      <c r="D12" s="1">
        <f>Table2[[#This Row],['# with Full 
Medical Exemption]]/Table2[[#This Row],['# of Students]]</f>
        <v>0</v>
      </c>
      <c r="E12">
        <v>0</v>
      </c>
      <c r="F12" s="1">
        <f>Table2[[#This Row],['# UTD with 
Partial Medical Exemption]]/Table2[[#This Row],['# of Students]]</f>
        <v>0</v>
      </c>
      <c r="G12">
        <v>3</v>
      </c>
      <c r="H12" s="1">
        <f>Table2[[#This Row],['# with Full 
Religous Exemption]]/Table2[[#This Row],['# of Students]]</f>
        <v>6.2370062370062374E-3</v>
      </c>
      <c r="I12">
        <v>0</v>
      </c>
      <c r="J12" s="1">
        <f>Table2[[#This Row],['# UTD with 
Partial Religious Exemption]]/Table2[[#This Row],['# of Students]]</f>
        <v>0</v>
      </c>
    </row>
    <row r="13" spans="1:10" x14ac:dyDescent="0.25">
      <c r="A13" t="s">
        <v>13</v>
      </c>
      <c r="B13">
        <v>131</v>
      </c>
      <c r="C13">
        <v>0</v>
      </c>
      <c r="D13" s="1">
        <f>Table2[[#This Row],['# with Full 
Medical Exemption]]/Table2[[#This Row],['# of Students]]</f>
        <v>0</v>
      </c>
      <c r="E13">
        <v>0</v>
      </c>
      <c r="F13" s="1">
        <f>Table2[[#This Row],['# UTD with 
Partial Medical Exemption]]/Table2[[#This Row],['# of Students]]</f>
        <v>0</v>
      </c>
      <c r="G13">
        <v>2</v>
      </c>
      <c r="H13" s="1">
        <f>Table2[[#This Row],['# with Full 
Religous Exemption]]/Table2[[#This Row],['# of Students]]</f>
        <v>1.5267175572519083E-2</v>
      </c>
      <c r="I13">
        <v>0</v>
      </c>
      <c r="J13" s="1">
        <f>Table2[[#This Row],['# UTD with 
Partial Religious Exemption]]/Table2[[#This Row],['# of Students]]</f>
        <v>0</v>
      </c>
    </row>
    <row r="14" spans="1:10" x14ac:dyDescent="0.25">
      <c r="A14" t="s">
        <v>14</v>
      </c>
      <c r="B14">
        <v>294</v>
      </c>
      <c r="C14">
        <v>0</v>
      </c>
      <c r="D14" s="1">
        <f>Table2[[#This Row],['# with Full 
Medical Exemption]]/Table2[[#This Row],['# of Students]]</f>
        <v>0</v>
      </c>
      <c r="E14">
        <v>0</v>
      </c>
      <c r="F14" s="1">
        <f>Table2[[#This Row],['# UTD with 
Partial Medical Exemption]]/Table2[[#This Row],['# of Students]]</f>
        <v>0</v>
      </c>
      <c r="G14">
        <v>1</v>
      </c>
      <c r="H14" s="1">
        <f>Table2[[#This Row],['# with Full 
Religous Exemption]]/Table2[[#This Row],['# of Students]]</f>
        <v>3.4013605442176869E-3</v>
      </c>
      <c r="I14">
        <v>0</v>
      </c>
      <c r="J14" s="1">
        <f>Table2[[#This Row],['# UTD with 
Partial Religious Exemption]]/Table2[[#This Row],['# of Students]]</f>
        <v>0</v>
      </c>
    </row>
    <row r="15" spans="1:10" x14ac:dyDescent="0.25">
      <c r="A15" t="s">
        <v>15</v>
      </c>
      <c r="B15">
        <v>186</v>
      </c>
      <c r="C15">
        <v>0</v>
      </c>
      <c r="D15" s="1">
        <f>Table2[[#This Row],['# with Full 
Medical Exemption]]/Table2[[#This Row],['# of Students]]</f>
        <v>0</v>
      </c>
      <c r="E15">
        <v>0</v>
      </c>
      <c r="F15" s="1">
        <f>Table2[[#This Row],['# UTD with 
Partial Medical Exemption]]/Table2[[#This Row],['# of Students]]</f>
        <v>0</v>
      </c>
      <c r="G15">
        <v>4</v>
      </c>
      <c r="H15" s="1">
        <f>Table2[[#This Row],['# with Full 
Religous Exemption]]/Table2[[#This Row],['# of Students]]</f>
        <v>2.1505376344086023E-2</v>
      </c>
      <c r="I15">
        <v>0</v>
      </c>
      <c r="J15" s="1">
        <f>Table2[[#This Row],['# UTD with 
Partial Religious Exemption]]/Table2[[#This Row],['# of Students]]</f>
        <v>0</v>
      </c>
    </row>
    <row r="16" spans="1:10" x14ac:dyDescent="0.25">
      <c r="A16" t="s">
        <v>16</v>
      </c>
      <c r="B16">
        <v>186</v>
      </c>
      <c r="C16">
        <v>0</v>
      </c>
      <c r="D16" s="1">
        <f>Table2[[#This Row],['# with Full 
Medical Exemption]]/Table2[[#This Row],['# of Students]]</f>
        <v>0</v>
      </c>
      <c r="E16">
        <v>0</v>
      </c>
      <c r="F16" s="1">
        <f>Table2[[#This Row],['# UTD with 
Partial Medical Exemption]]/Table2[[#This Row],['# of Students]]</f>
        <v>0</v>
      </c>
      <c r="G16">
        <v>3</v>
      </c>
      <c r="H16" s="1">
        <f>Table2[[#This Row],['# with Full 
Religous Exemption]]/Table2[[#This Row],['# of Students]]</f>
        <v>1.6129032258064516E-2</v>
      </c>
      <c r="I16">
        <v>0</v>
      </c>
      <c r="J16" s="1">
        <f>Table2[[#This Row],['# UTD with 
Partial Religious Exemption]]/Table2[[#This Row],['# of Students]]</f>
        <v>0</v>
      </c>
    </row>
    <row r="17" spans="1:10" x14ac:dyDescent="0.25">
      <c r="A17" t="s">
        <v>17</v>
      </c>
      <c r="B17">
        <v>724</v>
      </c>
      <c r="C17">
        <v>2</v>
      </c>
      <c r="D17" s="1">
        <f>Table2[[#This Row],['# with Full 
Medical Exemption]]/Table2[[#This Row],['# of Students]]</f>
        <v>2.7624309392265192E-3</v>
      </c>
      <c r="E17">
        <v>0</v>
      </c>
      <c r="F17" s="1">
        <f>Table2[[#This Row],['# UTD with 
Partial Medical Exemption]]/Table2[[#This Row],['# of Students]]</f>
        <v>0</v>
      </c>
      <c r="G17">
        <v>10</v>
      </c>
      <c r="H17" s="1">
        <f>Table2[[#This Row],['# with Full 
Religous Exemption]]/Table2[[#This Row],['# of Students]]</f>
        <v>1.3812154696132596E-2</v>
      </c>
      <c r="I17">
        <v>0</v>
      </c>
      <c r="J17" s="1">
        <f>Table2[[#This Row],['# UTD with 
Partial Religious Exemption]]/Table2[[#This Row],['# of Students]]</f>
        <v>0</v>
      </c>
    </row>
    <row r="18" spans="1:10" x14ac:dyDescent="0.25">
      <c r="A18" t="s">
        <v>18</v>
      </c>
      <c r="B18">
        <v>544</v>
      </c>
      <c r="C18">
        <v>0</v>
      </c>
      <c r="D18" s="1">
        <f>Table2[[#This Row],['# with Full 
Medical Exemption]]/Table2[[#This Row],['# of Students]]</f>
        <v>0</v>
      </c>
      <c r="E18">
        <v>0</v>
      </c>
      <c r="F18" s="1">
        <f>Table2[[#This Row],['# UTD with 
Partial Medical Exemption]]/Table2[[#This Row],['# of Students]]</f>
        <v>0</v>
      </c>
      <c r="G18">
        <v>3</v>
      </c>
      <c r="H18" s="1">
        <f>Table2[[#This Row],['# with Full 
Religous Exemption]]/Table2[[#This Row],['# of Students]]</f>
        <v>5.5147058823529415E-3</v>
      </c>
      <c r="I18">
        <v>0</v>
      </c>
      <c r="J18" s="1">
        <f>Table2[[#This Row],['# UTD with 
Partial Religious Exemption]]/Table2[[#This Row],['# of Students]]</f>
        <v>0</v>
      </c>
    </row>
    <row r="19" spans="1:10" x14ac:dyDescent="0.25">
      <c r="A19" t="s">
        <v>19</v>
      </c>
      <c r="B19">
        <v>102</v>
      </c>
      <c r="C19">
        <v>0</v>
      </c>
      <c r="D19" s="1">
        <f>Table2[[#This Row],['# with Full 
Medical Exemption]]/Table2[[#This Row],['# of Students]]</f>
        <v>0</v>
      </c>
      <c r="E19">
        <v>0</v>
      </c>
      <c r="F19" s="1">
        <f>Table2[[#This Row],['# UTD with 
Partial Medical Exemption]]/Table2[[#This Row],['# of Students]]</f>
        <v>0</v>
      </c>
      <c r="G19">
        <v>0</v>
      </c>
      <c r="H19" s="1">
        <f>Table2[[#This Row],['# with Full 
Religous Exemption]]/Table2[[#This Row],['# of Students]]</f>
        <v>0</v>
      </c>
      <c r="I19">
        <v>0</v>
      </c>
      <c r="J19" s="1">
        <f>Table2[[#This Row],['# UTD with 
Partial Religious Exemption]]/Table2[[#This Row],['# of Students]]</f>
        <v>0</v>
      </c>
    </row>
    <row r="20" spans="1:10" x14ac:dyDescent="0.25">
      <c r="A20" t="s">
        <v>20</v>
      </c>
      <c r="B20">
        <v>64</v>
      </c>
      <c r="C20">
        <v>0</v>
      </c>
      <c r="D20" s="1">
        <f>Table2[[#This Row],['# with Full 
Medical Exemption]]/Table2[[#This Row],['# of Students]]</f>
        <v>0</v>
      </c>
      <c r="E20">
        <v>0</v>
      </c>
      <c r="F20" s="1">
        <f>Table2[[#This Row],['# UTD with 
Partial Medical Exemption]]/Table2[[#This Row],['# of Students]]</f>
        <v>0</v>
      </c>
      <c r="G20">
        <v>0</v>
      </c>
      <c r="H20" s="1">
        <f>Table2[[#This Row],['# with Full 
Religous Exemption]]/Table2[[#This Row],['# of Students]]</f>
        <v>0</v>
      </c>
      <c r="I20">
        <v>0</v>
      </c>
      <c r="J20" s="1">
        <f>Table2[[#This Row],['# UTD with 
Partial Religious Exemption]]/Table2[[#This Row],['# of Students]]</f>
        <v>0</v>
      </c>
    </row>
    <row r="21" spans="1:10" x14ac:dyDescent="0.25">
      <c r="A21" t="s">
        <v>21</v>
      </c>
      <c r="B21">
        <v>450</v>
      </c>
      <c r="C21">
        <v>0</v>
      </c>
      <c r="D21" s="1">
        <f>Table2[[#This Row],['# with Full 
Medical Exemption]]/Table2[[#This Row],['# of Students]]</f>
        <v>0</v>
      </c>
      <c r="E21">
        <v>0</v>
      </c>
      <c r="F21" s="1">
        <f>Table2[[#This Row],['# UTD with 
Partial Medical Exemption]]/Table2[[#This Row],['# of Students]]</f>
        <v>0</v>
      </c>
      <c r="G21">
        <v>5</v>
      </c>
      <c r="H21" s="1">
        <f>Table2[[#This Row],['# with Full 
Religous Exemption]]/Table2[[#This Row],['# of Students]]</f>
        <v>1.1111111111111112E-2</v>
      </c>
      <c r="I21">
        <v>0</v>
      </c>
      <c r="J21" s="1">
        <f>Table2[[#This Row],['# UTD with 
Partial Religious Exemption]]/Table2[[#This Row],['# of Students]]</f>
        <v>0</v>
      </c>
    </row>
    <row r="22" spans="1:10" x14ac:dyDescent="0.25">
      <c r="A22" t="s">
        <v>22</v>
      </c>
      <c r="B22">
        <v>197</v>
      </c>
      <c r="C22">
        <v>0</v>
      </c>
      <c r="D22" s="1">
        <f>Table2[[#This Row],['# with Full 
Medical Exemption]]/Table2[[#This Row],['# of Students]]</f>
        <v>0</v>
      </c>
      <c r="E22">
        <v>0</v>
      </c>
      <c r="F22" s="1">
        <f>Table2[[#This Row],['# UTD with 
Partial Medical Exemption]]/Table2[[#This Row],['# of Students]]</f>
        <v>0</v>
      </c>
      <c r="G22">
        <v>2</v>
      </c>
      <c r="H22" s="1">
        <f>Table2[[#This Row],['# with Full 
Religous Exemption]]/Table2[[#This Row],['# of Students]]</f>
        <v>1.015228426395939E-2</v>
      </c>
      <c r="I22">
        <v>0</v>
      </c>
      <c r="J22" s="1">
        <f>Table2[[#This Row],['# UTD with 
Partial Religious Exemption]]/Table2[[#This Row],['# of Students]]</f>
        <v>0</v>
      </c>
    </row>
    <row r="23" spans="1:10" x14ac:dyDescent="0.25">
      <c r="A23" t="s">
        <v>23</v>
      </c>
      <c r="B23">
        <v>1009</v>
      </c>
      <c r="C23">
        <v>1</v>
      </c>
      <c r="D23" s="1">
        <f>Table2[[#This Row],['# with Full 
Medical Exemption]]/Table2[[#This Row],['# of Students]]</f>
        <v>9.9108027750247768E-4</v>
      </c>
      <c r="E23">
        <v>0</v>
      </c>
      <c r="F23" s="1">
        <f>Table2[[#This Row],['# UTD with 
Partial Medical Exemption]]/Table2[[#This Row],['# of Students]]</f>
        <v>0</v>
      </c>
      <c r="G23">
        <v>21</v>
      </c>
      <c r="H23" s="1">
        <f>Table2[[#This Row],['# with Full 
Religous Exemption]]/Table2[[#This Row],['# of Students]]</f>
        <v>2.0812685827552031E-2</v>
      </c>
      <c r="I23">
        <v>0</v>
      </c>
      <c r="J23" s="1">
        <f>Table2[[#This Row],['# UTD with 
Partial Religious Exemption]]/Table2[[#This Row],['# of Students]]</f>
        <v>0</v>
      </c>
    </row>
    <row r="24" spans="1:10" x14ac:dyDescent="0.25">
      <c r="A24" t="s">
        <v>24</v>
      </c>
      <c r="B24">
        <v>456</v>
      </c>
      <c r="C24">
        <v>0</v>
      </c>
      <c r="D24" s="1">
        <f>Table2[[#This Row],['# with Full 
Medical Exemption]]/Table2[[#This Row],['# of Students]]</f>
        <v>0</v>
      </c>
      <c r="E24">
        <v>2</v>
      </c>
      <c r="F24" s="1">
        <f>Table2[[#This Row],['# UTD with 
Partial Medical Exemption]]/Table2[[#This Row],['# of Students]]</f>
        <v>4.3859649122807015E-3</v>
      </c>
      <c r="G24">
        <v>6</v>
      </c>
      <c r="H24" s="1">
        <f>Table2[[#This Row],['# with Full 
Religous Exemption]]/Table2[[#This Row],['# of Students]]</f>
        <v>1.3157894736842105E-2</v>
      </c>
      <c r="I24">
        <v>0</v>
      </c>
      <c r="J24" s="1">
        <f>Table2[[#This Row],['# UTD with 
Partial Religious Exemption]]/Table2[[#This Row],['# of Students]]</f>
        <v>0</v>
      </c>
    </row>
    <row r="25" spans="1:10" x14ac:dyDescent="0.25">
      <c r="A25" t="s">
        <v>25</v>
      </c>
      <c r="B25">
        <v>315</v>
      </c>
      <c r="C25">
        <v>0</v>
      </c>
      <c r="D25" s="1">
        <f>Table2[[#This Row],['# with Full 
Medical Exemption]]/Table2[[#This Row],['# of Students]]</f>
        <v>0</v>
      </c>
      <c r="E25">
        <v>0</v>
      </c>
      <c r="F25" s="1">
        <f>Table2[[#This Row],['# UTD with 
Partial Medical Exemption]]/Table2[[#This Row],['# of Students]]</f>
        <v>0</v>
      </c>
      <c r="G25">
        <v>1</v>
      </c>
      <c r="H25" s="1">
        <f>Table2[[#This Row],['# with Full 
Religous Exemption]]/Table2[[#This Row],['# of Students]]</f>
        <v>3.1746031746031746E-3</v>
      </c>
      <c r="I25">
        <v>0</v>
      </c>
      <c r="J25" s="1">
        <f>Table2[[#This Row],['# UTD with 
Partial Religious Exemption]]/Table2[[#This Row],['# of Students]]</f>
        <v>0</v>
      </c>
    </row>
    <row r="26" spans="1:10" x14ac:dyDescent="0.25">
      <c r="A26" t="s">
        <v>26</v>
      </c>
      <c r="B26">
        <v>906</v>
      </c>
      <c r="C26">
        <v>1</v>
      </c>
      <c r="D26" s="1">
        <f>Table2[[#This Row],['# with Full 
Medical Exemption]]/Table2[[#This Row],['# of Students]]</f>
        <v>1.1037527593818985E-3</v>
      </c>
      <c r="E26">
        <v>0</v>
      </c>
      <c r="F26" s="1">
        <f>Table2[[#This Row],['# UTD with 
Partial Medical Exemption]]/Table2[[#This Row],['# of Students]]</f>
        <v>0</v>
      </c>
      <c r="G26">
        <v>8</v>
      </c>
      <c r="H26" s="1">
        <f>Table2[[#This Row],['# with Full 
Religous Exemption]]/Table2[[#This Row],['# of Students]]</f>
        <v>8.8300220750551876E-3</v>
      </c>
      <c r="I26">
        <v>1</v>
      </c>
      <c r="J26" s="1">
        <f>Table2[[#This Row],['# UTD with 
Partial Religious Exemption]]/Table2[[#This Row],['# of Students]]</f>
        <v>1.1037527593818985E-3</v>
      </c>
    </row>
    <row r="27" spans="1:10" x14ac:dyDescent="0.25">
      <c r="A27" t="s">
        <v>27</v>
      </c>
      <c r="B27">
        <v>981</v>
      </c>
      <c r="C27">
        <v>1</v>
      </c>
      <c r="D27" s="1">
        <f>Table2[[#This Row],['# with Full 
Medical Exemption]]/Table2[[#This Row],['# of Students]]</f>
        <v>1.0193679918450561E-3</v>
      </c>
      <c r="E27">
        <v>1</v>
      </c>
      <c r="F27" s="1">
        <f>Table2[[#This Row],['# UTD with 
Partial Medical Exemption]]/Table2[[#This Row],['# of Students]]</f>
        <v>1.0193679918450561E-3</v>
      </c>
      <c r="G27">
        <v>19</v>
      </c>
      <c r="H27" s="1">
        <f>Table2[[#This Row],['# with Full 
Religous Exemption]]/Table2[[#This Row],['# of Students]]</f>
        <v>1.9367991845056064E-2</v>
      </c>
      <c r="I27">
        <v>0</v>
      </c>
      <c r="J27" s="1">
        <f>Table2[[#This Row],['# UTD with 
Partial Religious Exemption]]/Table2[[#This Row],['# of Students]]</f>
        <v>0</v>
      </c>
    </row>
    <row r="28" spans="1:10" x14ac:dyDescent="0.25">
      <c r="A28" t="s">
        <v>28</v>
      </c>
      <c r="B28">
        <v>363</v>
      </c>
      <c r="C28">
        <v>0</v>
      </c>
      <c r="D28" s="1">
        <f>Table2[[#This Row],['# with Full 
Medical Exemption]]/Table2[[#This Row],['# of Students]]</f>
        <v>0</v>
      </c>
      <c r="E28">
        <v>0</v>
      </c>
      <c r="F28" s="1">
        <f>Table2[[#This Row],['# UTD with 
Partial Medical Exemption]]/Table2[[#This Row],['# of Students]]</f>
        <v>0</v>
      </c>
      <c r="G28">
        <v>4</v>
      </c>
      <c r="H28" s="1">
        <f>Table2[[#This Row],['# with Full 
Religous Exemption]]/Table2[[#This Row],['# of Students]]</f>
        <v>1.1019283746556474E-2</v>
      </c>
      <c r="I28">
        <v>0</v>
      </c>
      <c r="J28" s="1">
        <f>Table2[[#This Row],['# UTD with 
Partial Religious Exemption]]/Table2[[#This Row],['# of Students]]</f>
        <v>0</v>
      </c>
    </row>
    <row r="29" spans="1:10" x14ac:dyDescent="0.25">
      <c r="A29" t="s">
        <v>29</v>
      </c>
      <c r="B29">
        <v>1232</v>
      </c>
      <c r="C29">
        <v>2</v>
      </c>
      <c r="D29" s="1">
        <f>Table2[[#This Row],['# with Full 
Medical Exemption]]/Table2[[#This Row],['# of Students]]</f>
        <v>1.6233766233766235E-3</v>
      </c>
      <c r="E29">
        <v>1</v>
      </c>
      <c r="F29" s="1">
        <f>Table2[[#This Row],['# UTD with 
Partial Medical Exemption]]/Table2[[#This Row],['# of Students]]</f>
        <v>8.1168831168831174E-4</v>
      </c>
      <c r="G29">
        <v>14</v>
      </c>
      <c r="H29" s="1">
        <f>Table2[[#This Row],['# with Full 
Religous Exemption]]/Table2[[#This Row],['# of Students]]</f>
        <v>1.1363636363636364E-2</v>
      </c>
      <c r="I29">
        <v>0</v>
      </c>
      <c r="J29" s="1">
        <f>Table2[[#This Row],['# UTD with 
Partial Religious Exemption]]/Table2[[#This Row],['# of Students]]</f>
        <v>0</v>
      </c>
    </row>
    <row r="30" spans="1:10" x14ac:dyDescent="0.25">
      <c r="A30" t="s">
        <v>30</v>
      </c>
      <c r="B30">
        <v>181</v>
      </c>
      <c r="C30">
        <v>0</v>
      </c>
      <c r="D30" s="1">
        <f>Table2[[#This Row],['# with Full 
Medical Exemption]]/Table2[[#This Row],['# of Students]]</f>
        <v>0</v>
      </c>
      <c r="E30">
        <v>0</v>
      </c>
      <c r="F30" s="1">
        <f>Table2[[#This Row],['# UTD with 
Partial Medical Exemption]]/Table2[[#This Row],['# of Students]]</f>
        <v>0</v>
      </c>
      <c r="G30">
        <v>0</v>
      </c>
      <c r="H30" s="1">
        <f>Table2[[#This Row],['# with Full 
Religous Exemption]]/Table2[[#This Row],['# of Students]]</f>
        <v>0</v>
      </c>
      <c r="I30">
        <v>0</v>
      </c>
      <c r="J30" s="1">
        <f>Table2[[#This Row],['# UTD with 
Partial Religious Exemption]]/Table2[[#This Row],['# of Students]]</f>
        <v>0</v>
      </c>
    </row>
    <row r="31" spans="1:10" x14ac:dyDescent="0.25">
      <c r="A31" t="s">
        <v>31</v>
      </c>
      <c r="B31">
        <v>416</v>
      </c>
      <c r="C31">
        <v>1</v>
      </c>
      <c r="D31" s="1">
        <f>Table2[[#This Row],['# with Full 
Medical Exemption]]/Table2[[#This Row],['# of Students]]</f>
        <v>2.403846153846154E-3</v>
      </c>
      <c r="E31">
        <v>0</v>
      </c>
      <c r="F31" s="1">
        <f>Table2[[#This Row],['# UTD with 
Partial Medical Exemption]]/Table2[[#This Row],['# of Students]]</f>
        <v>0</v>
      </c>
      <c r="G31">
        <v>3</v>
      </c>
      <c r="H31" s="1">
        <f>Table2[[#This Row],['# with Full 
Religous Exemption]]/Table2[[#This Row],['# of Students]]</f>
        <v>7.2115384615384619E-3</v>
      </c>
      <c r="I31">
        <v>0</v>
      </c>
      <c r="J31" s="1">
        <f>Table2[[#This Row],['# UTD with 
Partial Religious Exemption]]/Table2[[#This Row],['# of Students]]</f>
        <v>0</v>
      </c>
    </row>
    <row r="32" spans="1:10" x14ac:dyDescent="0.25">
      <c r="A32" t="s">
        <v>32</v>
      </c>
      <c r="B32">
        <v>323</v>
      </c>
      <c r="C32">
        <v>0</v>
      </c>
      <c r="D32" s="1">
        <f>Table2[[#This Row],['# with Full 
Medical Exemption]]/Table2[[#This Row],['# of Students]]</f>
        <v>0</v>
      </c>
      <c r="E32">
        <v>0</v>
      </c>
      <c r="F32" s="1">
        <f>Table2[[#This Row],['# UTD with 
Partial Medical Exemption]]/Table2[[#This Row],['# of Students]]</f>
        <v>0</v>
      </c>
      <c r="G32">
        <v>1</v>
      </c>
      <c r="H32" s="1">
        <f>Table2[[#This Row],['# with Full 
Religous Exemption]]/Table2[[#This Row],['# of Students]]</f>
        <v>3.0959752321981426E-3</v>
      </c>
      <c r="I32">
        <v>0</v>
      </c>
      <c r="J32" s="1">
        <f>Table2[[#This Row],['# UTD with 
Partial Religious Exemption]]/Table2[[#This Row],['# of Students]]</f>
        <v>0</v>
      </c>
    </row>
    <row r="33" spans="1:10" x14ac:dyDescent="0.25">
      <c r="A33" t="s">
        <v>33</v>
      </c>
      <c r="B33">
        <v>49</v>
      </c>
      <c r="C33">
        <v>0</v>
      </c>
      <c r="D33" s="1">
        <f>Table2[[#This Row],['# with Full 
Medical Exemption]]/Table2[[#This Row],['# of Students]]</f>
        <v>0</v>
      </c>
      <c r="E33">
        <v>0</v>
      </c>
      <c r="F33" s="1">
        <f>Table2[[#This Row],['# UTD with 
Partial Medical Exemption]]/Table2[[#This Row],['# of Students]]</f>
        <v>0</v>
      </c>
      <c r="G33">
        <v>0</v>
      </c>
      <c r="H33" s="1">
        <f>Table2[[#This Row],['# with Full 
Religous Exemption]]/Table2[[#This Row],['# of Students]]</f>
        <v>0</v>
      </c>
      <c r="I33">
        <v>0</v>
      </c>
      <c r="J33" s="1">
        <f>Table2[[#This Row],['# UTD with 
Partial Religious Exemption]]/Table2[[#This Row],['# of Students]]</f>
        <v>0</v>
      </c>
    </row>
    <row r="34" spans="1:10" x14ac:dyDescent="0.25">
      <c r="A34" t="s">
        <v>34</v>
      </c>
      <c r="B34">
        <v>186</v>
      </c>
      <c r="C34">
        <v>0</v>
      </c>
      <c r="D34" s="1">
        <f>Table2[[#This Row],['# with Full 
Medical Exemption]]/Table2[[#This Row],['# of Students]]</f>
        <v>0</v>
      </c>
      <c r="E34">
        <v>0</v>
      </c>
      <c r="F34" s="1">
        <f>Table2[[#This Row],['# UTD with 
Partial Medical Exemption]]/Table2[[#This Row],['# of Students]]</f>
        <v>0</v>
      </c>
      <c r="G34">
        <v>1</v>
      </c>
      <c r="H34" s="1">
        <f>Table2[[#This Row],['# with Full 
Religous Exemption]]/Table2[[#This Row],['# of Students]]</f>
        <v>5.3763440860215058E-3</v>
      </c>
      <c r="I34">
        <v>0</v>
      </c>
      <c r="J34" s="1">
        <f>Table2[[#This Row],['# UTD with 
Partial Religious Exemption]]/Table2[[#This Row],['# of Students]]</f>
        <v>0</v>
      </c>
    </row>
    <row r="35" spans="1:10" x14ac:dyDescent="0.25">
      <c r="A35" t="s">
        <v>35</v>
      </c>
      <c r="B35">
        <v>203</v>
      </c>
      <c r="C35">
        <v>1</v>
      </c>
      <c r="D35" s="1">
        <f>Table2[[#This Row],['# with Full 
Medical Exemption]]/Table2[[#This Row],['# of Students]]</f>
        <v>4.9261083743842365E-3</v>
      </c>
      <c r="E35">
        <v>1</v>
      </c>
      <c r="F35" s="1">
        <f>Table2[[#This Row],['# UTD with 
Partial Medical Exemption]]/Table2[[#This Row],['# of Students]]</f>
        <v>4.9261083743842365E-3</v>
      </c>
      <c r="G35">
        <v>0</v>
      </c>
      <c r="H35" s="1">
        <f>Table2[[#This Row],['# with Full 
Religous Exemption]]/Table2[[#This Row],['# of Students]]</f>
        <v>0</v>
      </c>
      <c r="I35">
        <v>0</v>
      </c>
      <c r="J35" s="1">
        <f>Table2[[#This Row],['# UTD with 
Partial Religious Exemption]]/Table2[[#This Row],['# of Students]]</f>
        <v>0</v>
      </c>
    </row>
    <row r="36" spans="1:10" x14ac:dyDescent="0.25">
      <c r="A36" t="s">
        <v>36</v>
      </c>
      <c r="B36">
        <v>1229</v>
      </c>
      <c r="C36">
        <v>0</v>
      </c>
      <c r="D36" s="1">
        <f>Table2[[#This Row],['# with Full 
Medical Exemption]]/Table2[[#This Row],['# of Students]]</f>
        <v>0</v>
      </c>
      <c r="E36">
        <v>8</v>
      </c>
      <c r="F36" s="1">
        <f>Table2[[#This Row],['# UTD with 
Partial Medical Exemption]]/Table2[[#This Row],['# of Students]]</f>
        <v>6.5093572009764034E-3</v>
      </c>
      <c r="G36">
        <v>5</v>
      </c>
      <c r="H36" s="1">
        <f>Table2[[#This Row],['# with Full 
Religous Exemption]]/Table2[[#This Row],['# of Students]]</f>
        <v>4.0683482506102524E-3</v>
      </c>
      <c r="I36">
        <v>1</v>
      </c>
      <c r="J36" s="1">
        <f>Table2[[#This Row],['# UTD with 
Partial Religious Exemption]]/Table2[[#This Row],['# of Students]]</f>
        <v>8.1366965012205042E-4</v>
      </c>
    </row>
    <row r="37" spans="1:10" x14ac:dyDescent="0.25">
      <c r="A37" t="s">
        <v>37</v>
      </c>
      <c r="B37">
        <v>531</v>
      </c>
      <c r="C37">
        <v>0</v>
      </c>
      <c r="D37" s="1">
        <f>Table2[[#This Row],['# with Full 
Medical Exemption]]/Table2[[#This Row],['# of Students]]</f>
        <v>0</v>
      </c>
      <c r="E37">
        <v>0</v>
      </c>
      <c r="F37" s="1">
        <f>Table2[[#This Row],['# UTD with 
Partial Medical Exemption]]/Table2[[#This Row],['# of Students]]</f>
        <v>0</v>
      </c>
      <c r="G37">
        <v>9</v>
      </c>
      <c r="H37" s="1">
        <f>Table2[[#This Row],['# with Full 
Religous Exemption]]/Table2[[#This Row],['# of Students]]</f>
        <v>1.6949152542372881E-2</v>
      </c>
      <c r="I37">
        <v>0</v>
      </c>
      <c r="J37" s="1">
        <f>Table2[[#This Row],['# UTD with 
Partial Religious Exemption]]/Table2[[#This Row],['# of Students]]</f>
        <v>0</v>
      </c>
    </row>
    <row r="38" spans="1:10" x14ac:dyDescent="0.25">
      <c r="A38" t="s">
        <v>38</v>
      </c>
      <c r="B38">
        <v>7292</v>
      </c>
      <c r="C38">
        <v>1</v>
      </c>
      <c r="D38" s="1">
        <f>Table2[[#This Row],['# with Full 
Medical Exemption]]/Table2[[#This Row],['# of Students]]</f>
        <v>1.3713658804168953E-4</v>
      </c>
      <c r="E38">
        <v>6</v>
      </c>
      <c r="F38" s="1">
        <f>Table2[[#This Row],['# UTD with 
Partial Medical Exemption]]/Table2[[#This Row],['# of Students]]</f>
        <v>8.2281952825013713E-4</v>
      </c>
      <c r="G38">
        <v>60</v>
      </c>
      <c r="H38" s="1">
        <f>Table2[[#This Row],['# with Full 
Religous Exemption]]/Table2[[#This Row],['# of Students]]</f>
        <v>8.2281952825013719E-3</v>
      </c>
      <c r="I38">
        <v>0</v>
      </c>
      <c r="J38" s="1">
        <f>Table2[[#This Row],['# UTD with 
Partial Religious Exemption]]/Table2[[#This Row],['# of Students]]</f>
        <v>0</v>
      </c>
    </row>
    <row r="39" spans="1:10" x14ac:dyDescent="0.25">
      <c r="A39" t="s">
        <v>39</v>
      </c>
      <c r="B39">
        <v>182</v>
      </c>
      <c r="C39">
        <v>0</v>
      </c>
      <c r="D39" s="1">
        <f>Table2[[#This Row],['# with Full 
Medical Exemption]]/Table2[[#This Row],['# of Students]]</f>
        <v>0</v>
      </c>
      <c r="E39">
        <v>0</v>
      </c>
      <c r="F39" s="1">
        <f>Table2[[#This Row],['# UTD with 
Partial Medical Exemption]]/Table2[[#This Row],['# of Students]]</f>
        <v>0</v>
      </c>
      <c r="G39">
        <v>1</v>
      </c>
      <c r="H39" s="1">
        <f>Table2[[#This Row],['# with Full 
Religous Exemption]]/Table2[[#This Row],['# of Students]]</f>
        <v>5.4945054945054949E-3</v>
      </c>
      <c r="I39">
        <v>0</v>
      </c>
      <c r="J39" s="1">
        <f>Table2[[#This Row],['# UTD with 
Partial Religious Exemption]]/Table2[[#This Row],['# of Students]]</f>
        <v>0</v>
      </c>
    </row>
    <row r="40" spans="1:10" x14ac:dyDescent="0.25">
      <c r="A40" t="s">
        <v>40</v>
      </c>
      <c r="B40">
        <v>1037</v>
      </c>
      <c r="C40">
        <v>0</v>
      </c>
      <c r="D40" s="1">
        <f>Table2[[#This Row],['# with Full 
Medical Exemption]]/Table2[[#This Row],['# of Students]]</f>
        <v>0</v>
      </c>
      <c r="E40">
        <v>1</v>
      </c>
      <c r="F40" s="1">
        <f>Table2[[#This Row],['# UTD with 
Partial Medical Exemption]]/Table2[[#This Row],['# of Students]]</f>
        <v>9.6432015429122472E-4</v>
      </c>
      <c r="G40">
        <v>11</v>
      </c>
      <c r="H40" s="1">
        <f>Table2[[#This Row],['# with Full 
Religous Exemption]]/Table2[[#This Row],['# of Students]]</f>
        <v>1.0607521697203472E-2</v>
      </c>
      <c r="I40">
        <v>0</v>
      </c>
      <c r="J40" s="1">
        <f>Table2[[#This Row],['# UTD with 
Partial Religious Exemption]]/Table2[[#This Row],['# of Students]]</f>
        <v>0</v>
      </c>
    </row>
    <row r="41" spans="1:10" x14ac:dyDescent="0.25">
      <c r="A41" t="s">
        <v>41</v>
      </c>
      <c r="B41">
        <v>276</v>
      </c>
      <c r="C41">
        <v>0</v>
      </c>
      <c r="D41" s="1">
        <f>Table2[[#This Row],['# with Full 
Medical Exemption]]/Table2[[#This Row],['# of Students]]</f>
        <v>0</v>
      </c>
      <c r="E41">
        <v>0</v>
      </c>
      <c r="F41" s="1">
        <f>Table2[[#This Row],['# UTD with 
Partial Medical Exemption]]/Table2[[#This Row],['# of Students]]</f>
        <v>0</v>
      </c>
      <c r="G41">
        <v>2</v>
      </c>
      <c r="H41" s="1">
        <f>Table2[[#This Row],['# with Full 
Religous Exemption]]/Table2[[#This Row],['# of Students]]</f>
        <v>7.246376811594203E-3</v>
      </c>
      <c r="I41">
        <v>0</v>
      </c>
      <c r="J41" s="1">
        <f>Table2[[#This Row],['# UTD with 
Partial Religious Exemption]]/Table2[[#This Row],['# of Students]]</f>
        <v>0</v>
      </c>
    </row>
    <row r="42" spans="1:10" x14ac:dyDescent="0.25">
      <c r="A42" t="s">
        <v>42</v>
      </c>
      <c r="B42">
        <v>1839</v>
      </c>
      <c r="C42">
        <v>0</v>
      </c>
      <c r="D42" s="1">
        <f>Table2[[#This Row],['# with Full 
Medical Exemption]]/Table2[[#This Row],['# of Students]]</f>
        <v>0</v>
      </c>
      <c r="E42">
        <v>1</v>
      </c>
      <c r="F42" s="1">
        <f>Table2[[#This Row],['# UTD with 
Partial Medical Exemption]]/Table2[[#This Row],['# of Students]]</f>
        <v>5.4377379010331697E-4</v>
      </c>
      <c r="G42">
        <v>7</v>
      </c>
      <c r="H42" s="1">
        <f>Table2[[#This Row],['# with Full 
Religous Exemption]]/Table2[[#This Row],['# of Students]]</f>
        <v>3.8064165307232192E-3</v>
      </c>
      <c r="I42">
        <v>0</v>
      </c>
      <c r="J42" s="1">
        <f>Table2[[#This Row],['# UTD with 
Partial Religious Exemption]]/Table2[[#This Row],['# of Students]]</f>
        <v>0</v>
      </c>
    </row>
    <row r="43" spans="1:10" x14ac:dyDescent="0.25">
      <c r="A43" t="s">
        <v>43</v>
      </c>
      <c r="B43">
        <v>1002</v>
      </c>
      <c r="C43">
        <v>0</v>
      </c>
      <c r="D43" s="1">
        <f>Table2[[#This Row],['# with Full 
Medical Exemption]]/Table2[[#This Row],['# of Students]]</f>
        <v>0</v>
      </c>
      <c r="E43">
        <v>1</v>
      </c>
      <c r="F43" s="1">
        <f>Table2[[#This Row],['# UTD with 
Partial Medical Exemption]]/Table2[[#This Row],['# of Students]]</f>
        <v>9.9800399201596798E-4</v>
      </c>
      <c r="G43">
        <v>9</v>
      </c>
      <c r="H43" s="1">
        <f>Table2[[#This Row],['# with Full 
Religous Exemption]]/Table2[[#This Row],['# of Students]]</f>
        <v>8.9820359281437123E-3</v>
      </c>
      <c r="I43">
        <v>0</v>
      </c>
      <c r="J43" s="1">
        <f>Table2[[#This Row],['# UTD with 
Partial Religious Exemption]]/Table2[[#This Row],['# of Students]]</f>
        <v>0</v>
      </c>
    </row>
    <row r="44" spans="1:10" x14ac:dyDescent="0.25">
      <c r="A44" t="s">
        <v>44</v>
      </c>
      <c r="B44">
        <v>90</v>
      </c>
      <c r="C44">
        <v>0</v>
      </c>
      <c r="D44" s="1">
        <f>Table2[[#This Row],['# with Full 
Medical Exemption]]/Table2[[#This Row],['# of Students]]</f>
        <v>0</v>
      </c>
      <c r="E44">
        <v>0</v>
      </c>
      <c r="F44" s="1">
        <f>Table2[[#This Row],['# UTD with 
Partial Medical Exemption]]/Table2[[#This Row],['# of Students]]</f>
        <v>0</v>
      </c>
      <c r="G44">
        <v>1</v>
      </c>
      <c r="H44" s="1">
        <f>Table2[[#This Row],['# with Full 
Religous Exemption]]/Table2[[#This Row],['# of Students]]</f>
        <v>1.1111111111111112E-2</v>
      </c>
      <c r="I44">
        <v>0</v>
      </c>
      <c r="J44" s="1">
        <f>Table2[[#This Row],['# UTD with 
Partial Religious Exemption]]/Table2[[#This Row],['# of Students]]</f>
        <v>0</v>
      </c>
    </row>
    <row r="45" spans="1:10" x14ac:dyDescent="0.25">
      <c r="A45" t="s">
        <v>45</v>
      </c>
      <c r="B45">
        <v>145</v>
      </c>
      <c r="C45">
        <v>0</v>
      </c>
      <c r="D45" s="1">
        <f>Table2[[#This Row],['# with Full 
Medical Exemption]]/Table2[[#This Row],['# of Students]]</f>
        <v>0</v>
      </c>
      <c r="E45">
        <v>0</v>
      </c>
      <c r="F45" s="1">
        <f>Table2[[#This Row],['# UTD with 
Partial Medical Exemption]]/Table2[[#This Row],['# of Students]]</f>
        <v>0</v>
      </c>
      <c r="G45">
        <v>0</v>
      </c>
      <c r="H45" s="1">
        <f>Table2[[#This Row],['# with Full 
Religous Exemption]]/Table2[[#This Row],['# of Students]]</f>
        <v>0</v>
      </c>
      <c r="I45">
        <v>0</v>
      </c>
      <c r="J45" s="1">
        <f>Table2[[#This Row],['# UTD with 
Partial Religious Exemption]]/Table2[[#This Row],['# of Students]]</f>
        <v>0</v>
      </c>
    </row>
    <row r="46" spans="1:10" x14ac:dyDescent="0.25">
      <c r="A46" t="s">
        <v>46</v>
      </c>
      <c r="B46">
        <v>4108</v>
      </c>
      <c r="C46">
        <v>2</v>
      </c>
      <c r="D46" s="1">
        <f>Table2[[#This Row],['# with Full 
Medical Exemption]]/Table2[[#This Row],['# of Students]]</f>
        <v>4.8685491723466409E-4</v>
      </c>
      <c r="E46">
        <v>2</v>
      </c>
      <c r="F46" s="1">
        <f>Table2[[#This Row],['# UTD with 
Partial Medical Exemption]]/Table2[[#This Row],['# of Students]]</f>
        <v>4.8685491723466409E-4</v>
      </c>
      <c r="G46">
        <v>46</v>
      </c>
      <c r="H46" s="1">
        <f>Table2[[#This Row],['# with Full 
Religous Exemption]]/Table2[[#This Row],['# of Students]]</f>
        <v>1.1197663096397274E-2</v>
      </c>
      <c r="I46">
        <v>0</v>
      </c>
      <c r="J46" s="1">
        <f>Table2[[#This Row],['# UTD with 
Partial Religious Exemption]]/Table2[[#This Row],['# of Students]]</f>
        <v>0</v>
      </c>
    </row>
    <row r="47" spans="1:10" x14ac:dyDescent="0.25">
      <c r="A47" t="s">
        <v>47</v>
      </c>
      <c r="B47">
        <v>268</v>
      </c>
      <c r="C47">
        <v>0</v>
      </c>
      <c r="D47" s="1">
        <f>Table2[[#This Row],['# with Full 
Medical Exemption]]/Table2[[#This Row],['# of Students]]</f>
        <v>0</v>
      </c>
      <c r="E47">
        <v>1</v>
      </c>
      <c r="F47" s="1">
        <f>Table2[[#This Row],['# UTD with 
Partial Medical Exemption]]/Table2[[#This Row],['# of Students]]</f>
        <v>3.7313432835820895E-3</v>
      </c>
      <c r="G47">
        <v>0</v>
      </c>
      <c r="H47" s="1">
        <f>Table2[[#This Row],['# with Full 
Religous Exemption]]/Table2[[#This Row],['# of Students]]</f>
        <v>0</v>
      </c>
      <c r="I47">
        <v>0</v>
      </c>
      <c r="J47" s="1">
        <f>Table2[[#This Row],['# UTD with 
Partial Religious Exemption]]/Table2[[#This Row],['# of Students]]</f>
        <v>0</v>
      </c>
    </row>
    <row r="48" spans="1:10" x14ac:dyDescent="0.25">
      <c r="A48" t="s">
        <v>48</v>
      </c>
      <c r="B48">
        <v>381</v>
      </c>
      <c r="C48">
        <v>0</v>
      </c>
      <c r="D48" s="1">
        <f>Table2[[#This Row],['# with Full 
Medical Exemption]]/Table2[[#This Row],['# of Students]]</f>
        <v>0</v>
      </c>
      <c r="E48">
        <v>0</v>
      </c>
      <c r="F48" s="1">
        <f>Table2[[#This Row],['# UTD with 
Partial Medical Exemption]]/Table2[[#This Row],['# of Students]]</f>
        <v>0</v>
      </c>
      <c r="G48">
        <v>6</v>
      </c>
      <c r="H48" s="1">
        <f>Table2[[#This Row],['# with Full 
Religous Exemption]]/Table2[[#This Row],['# of Students]]</f>
        <v>1.5748031496062992E-2</v>
      </c>
      <c r="I48">
        <v>0</v>
      </c>
      <c r="J48" s="1">
        <f>Table2[[#This Row],['# UTD with 
Partial Religious Exemption]]/Table2[[#This Row],['# of Students]]</f>
        <v>0</v>
      </c>
    </row>
    <row r="49" spans="1:10" x14ac:dyDescent="0.25">
      <c r="A49" t="s">
        <v>49</v>
      </c>
      <c r="B49">
        <v>1289</v>
      </c>
      <c r="C49">
        <v>2</v>
      </c>
      <c r="D49" s="1">
        <f>Table2[[#This Row],['# with Full 
Medical Exemption]]/Table2[[#This Row],['# of Students]]</f>
        <v>1.5515903801396431E-3</v>
      </c>
      <c r="E49">
        <v>0</v>
      </c>
      <c r="F49" s="1">
        <f>Table2[[#This Row],['# UTD with 
Partial Medical Exemption]]/Table2[[#This Row],['# of Students]]</f>
        <v>0</v>
      </c>
      <c r="G49">
        <v>6</v>
      </c>
      <c r="H49" s="1">
        <f>Table2[[#This Row],['# with Full 
Religous Exemption]]/Table2[[#This Row],['# of Students]]</f>
        <v>4.6547711404189293E-3</v>
      </c>
      <c r="I49">
        <v>0</v>
      </c>
      <c r="J49" s="1">
        <f>Table2[[#This Row],['# UTD with 
Partial Religious Exemption]]/Table2[[#This Row],['# of Students]]</f>
        <v>0</v>
      </c>
    </row>
    <row r="50" spans="1:10" x14ac:dyDescent="0.25">
      <c r="A50" t="s">
        <v>50</v>
      </c>
      <c r="B50">
        <v>4907</v>
      </c>
      <c r="C50">
        <v>0</v>
      </c>
      <c r="D50" s="1">
        <f>Table2[[#This Row],['# with Full 
Medical Exemption]]/Table2[[#This Row],['# of Students]]</f>
        <v>0</v>
      </c>
      <c r="E50">
        <v>5</v>
      </c>
      <c r="F50" s="1">
        <f>Table2[[#This Row],['# UTD with 
Partial Medical Exemption]]/Table2[[#This Row],['# of Students]]</f>
        <v>1.0189525168127166E-3</v>
      </c>
      <c r="G50">
        <v>77</v>
      </c>
      <c r="H50" s="1">
        <f>Table2[[#This Row],['# with Full 
Religous Exemption]]/Table2[[#This Row],['# of Students]]</f>
        <v>1.5691868758915834E-2</v>
      </c>
      <c r="I50">
        <v>0</v>
      </c>
      <c r="J50" s="1">
        <f>Table2[[#This Row],['# UTD with 
Partial Religious Exemption]]/Table2[[#This Row],['# of Students]]</f>
        <v>0</v>
      </c>
    </row>
    <row r="51" spans="1:10" x14ac:dyDescent="0.25">
      <c r="A51" t="s">
        <v>51</v>
      </c>
      <c r="B51">
        <v>253</v>
      </c>
      <c r="C51">
        <v>0</v>
      </c>
      <c r="D51" s="1">
        <f>Table2[[#This Row],['# with Full 
Medical Exemption]]/Table2[[#This Row],['# of Students]]</f>
        <v>0</v>
      </c>
      <c r="E51">
        <v>0</v>
      </c>
      <c r="F51" s="1">
        <f>Table2[[#This Row],['# UTD with 
Partial Medical Exemption]]/Table2[[#This Row],['# of Students]]</f>
        <v>0</v>
      </c>
      <c r="G51">
        <v>1</v>
      </c>
      <c r="H51" s="1">
        <f>Table2[[#This Row],['# with Full 
Religous Exemption]]/Table2[[#This Row],['# of Students]]</f>
        <v>3.952569169960474E-3</v>
      </c>
      <c r="I51">
        <v>0</v>
      </c>
      <c r="J51" s="1">
        <f>Table2[[#This Row],['# UTD with 
Partial Religious Exemption]]/Table2[[#This Row],['# of Students]]</f>
        <v>0</v>
      </c>
    </row>
    <row r="52" spans="1:10" x14ac:dyDescent="0.25">
      <c r="A52" t="s">
        <v>52</v>
      </c>
      <c r="B52">
        <v>2746</v>
      </c>
      <c r="C52">
        <v>0</v>
      </c>
      <c r="D52" s="1">
        <f>Table2[[#This Row],['# with Full 
Medical Exemption]]/Table2[[#This Row],['# of Students]]</f>
        <v>0</v>
      </c>
      <c r="E52">
        <v>1</v>
      </c>
      <c r="F52" s="1">
        <f>Table2[[#This Row],['# UTD with 
Partial Medical Exemption]]/Table2[[#This Row],['# of Students]]</f>
        <v>3.6416605972323381E-4</v>
      </c>
      <c r="G52">
        <v>24</v>
      </c>
      <c r="H52" s="1">
        <f>Table2[[#This Row],['# with Full 
Religous Exemption]]/Table2[[#This Row],['# of Students]]</f>
        <v>8.7399854333576107E-3</v>
      </c>
      <c r="I52">
        <v>0</v>
      </c>
      <c r="J52" s="1">
        <f>Table2[[#This Row],['# UTD with 
Partial Religious Exemption]]/Table2[[#This Row],['# of Students]]</f>
        <v>0</v>
      </c>
    </row>
    <row r="53" spans="1:10" x14ac:dyDescent="0.25">
      <c r="A53" t="s">
        <v>53</v>
      </c>
      <c r="B53">
        <v>1546</v>
      </c>
      <c r="C53">
        <v>1</v>
      </c>
      <c r="D53" s="1">
        <f>Table2[[#This Row],['# with Full 
Medical Exemption]]/Table2[[#This Row],['# of Students]]</f>
        <v>6.4683053040103498E-4</v>
      </c>
      <c r="E53">
        <v>2</v>
      </c>
      <c r="F53" s="1">
        <f>Table2[[#This Row],['# UTD with 
Partial Medical Exemption]]/Table2[[#This Row],['# of Students]]</f>
        <v>1.29366106080207E-3</v>
      </c>
      <c r="G53">
        <v>20</v>
      </c>
      <c r="H53" s="1">
        <f>Table2[[#This Row],['# with Full 
Religous Exemption]]/Table2[[#This Row],['# of Students]]</f>
        <v>1.2936610608020699E-2</v>
      </c>
      <c r="I53">
        <v>0</v>
      </c>
      <c r="J53" s="1">
        <f>Table2[[#This Row],['# UTD with 
Partial Religious Exemption]]/Table2[[#This Row],['# of Students]]</f>
        <v>0</v>
      </c>
    </row>
    <row r="54" spans="1:10" x14ac:dyDescent="0.25">
      <c r="A54" t="s">
        <v>54</v>
      </c>
      <c r="B54">
        <v>82</v>
      </c>
      <c r="C54">
        <v>0</v>
      </c>
      <c r="D54" s="1">
        <f>Table2[[#This Row],['# with Full 
Medical Exemption]]/Table2[[#This Row],['# of Students]]</f>
        <v>0</v>
      </c>
      <c r="E54">
        <v>0</v>
      </c>
      <c r="F54" s="1">
        <f>Table2[[#This Row],['# UTD with 
Partial Medical Exemption]]/Table2[[#This Row],['# of Students]]</f>
        <v>0</v>
      </c>
      <c r="G54">
        <v>0</v>
      </c>
      <c r="H54" s="1">
        <f>Table2[[#This Row],['# with Full 
Religous Exemption]]/Table2[[#This Row],['# of Students]]</f>
        <v>0</v>
      </c>
      <c r="I54">
        <v>0</v>
      </c>
      <c r="J54" s="1">
        <f>Table2[[#This Row],['# UTD with 
Partial Religious Exemption]]/Table2[[#This Row],['# of Students]]</f>
        <v>0</v>
      </c>
    </row>
    <row r="55" spans="1:10" x14ac:dyDescent="0.25">
      <c r="A55" t="s">
        <v>55</v>
      </c>
      <c r="B55">
        <v>158</v>
      </c>
      <c r="C55">
        <v>0</v>
      </c>
      <c r="D55" s="1">
        <f>Table2[[#This Row],['# with Full 
Medical Exemption]]/Table2[[#This Row],['# of Students]]</f>
        <v>0</v>
      </c>
      <c r="E55">
        <v>0</v>
      </c>
      <c r="F55" s="1">
        <f>Table2[[#This Row],['# UTD with 
Partial Medical Exemption]]/Table2[[#This Row],['# of Students]]</f>
        <v>0</v>
      </c>
      <c r="G55">
        <v>0</v>
      </c>
      <c r="H55" s="1">
        <f>Table2[[#This Row],['# with Full 
Religous Exemption]]/Table2[[#This Row],['# of Students]]</f>
        <v>0</v>
      </c>
      <c r="I55">
        <v>0</v>
      </c>
      <c r="J55" s="1">
        <f>Table2[[#This Row],['# UTD with 
Partial Religious Exemption]]/Table2[[#This Row],['# of Students]]</f>
        <v>0</v>
      </c>
    </row>
    <row r="56" spans="1:10" x14ac:dyDescent="0.25">
      <c r="A56" t="s">
        <v>56</v>
      </c>
      <c r="B56">
        <v>327</v>
      </c>
      <c r="C56">
        <v>0</v>
      </c>
      <c r="D56" s="1">
        <f>Table2[[#This Row],['# with Full 
Medical Exemption]]/Table2[[#This Row],['# of Students]]</f>
        <v>0</v>
      </c>
      <c r="E56">
        <v>0</v>
      </c>
      <c r="F56" s="1">
        <f>Table2[[#This Row],['# UTD with 
Partial Medical Exemption]]/Table2[[#This Row],['# of Students]]</f>
        <v>0</v>
      </c>
      <c r="G56">
        <v>0</v>
      </c>
      <c r="H56" s="1">
        <f>Table2[[#This Row],['# with Full 
Religous Exemption]]/Table2[[#This Row],['# of Students]]</f>
        <v>0</v>
      </c>
      <c r="I56">
        <v>0</v>
      </c>
      <c r="J56" s="1">
        <f>Table2[[#This Row],['# UTD with 
Partial Religious Exemption]]/Table2[[#This Row],['# of Students]]</f>
        <v>0</v>
      </c>
    </row>
    <row r="57" spans="1:10" x14ac:dyDescent="0.25">
      <c r="A57" t="s">
        <v>57</v>
      </c>
      <c r="B57">
        <v>250</v>
      </c>
      <c r="C57">
        <v>0</v>
      </c>
      <c r="D57" s="1">
        <f>Table2[[#This Row],['# with Full 
Medical Exemption]]/Table2[[#This Row],['# of Students]]</f>
        <v>0</v>
      </c>
      <c r="E57">
        <v>1</v>
      </c>
      <c r="F57" s="1">
        <f>Table2[[#This Row],['# UTD with 
Partial Medical Exemption]]/Table2[[#This Row],['# of Students]]</f>
        <v>4.0000000000000001E-3</v>
      </c>
      <c r="G57">
        <v>3</v>
      </c>
      <c r="H57" s="1">
        <f>Table2[[#This Row],['# with Full 
Religous Exemption]]/Table2[[#This Row],['# of Students]]</f>
        <v>1.2E-2</v>
      </c>
      <c r="I57">
        <v>0</v>
      </c>
      <c r="J57" s="1">
        <f>Table2[[#This Row],['# UTD with 
Partial Religious Exemption]]/Table2[[#This Row],['# of Students]]</f>
        <v>0</v>
      </c>
    </row>
    <row r="58" spans="1:10" x14ac:dyDescent="0.25">
      <c r="A58" t="s">
        <v>58</v>
      </c>
      <c r="B58">
        <v>737</v>
      </c>
      <c r="C58">
        <v>1</v>
      </c>
      <c r="D58" s="1">
        <f>Table2[[#This Row],['# with Full 
Medical Exemption]]/Table2[[#This Row],['# of Students]]</f>
        <v>1.3568521031207597E-3</v>
      </c>
      <c r="E58">
        <v>0</v>
      </c>
      <c r="F58" s="1">
        <f>Table2[[#This Row],['# UTD with 
Partial Medical Exemption]]/Table2[[#This Row],['# of Students]]</f>
        <v>0</v>
      </c>
      <c r="G58">
        <v>3</v>
      </c>
      <c r="H58" s="1">
        <f>Table2[[#This Row],['# with Full 
Religous Exemption]]/Table2[[#This Row],['# of Students]]</f>
        <v>4.0705563093622792E-3</v>
      </c>
      <c r="I58">
        <v>0</v>
      </c>
      <c r="J58" s="1">
        <f>Table2[[#This Row],['# UTD with 
Partial Religious Exemption]]/Table2[[#This Row],['# of Students]]</f>
        <v>0</v>
      </c>
    </row>
    <row r="59" spans="1:10" x14ac:dyDescent="0.25">
      <c r="A59" t="s">
        <v>59</v>
      </c>
      <c r="B59">
        <v>2239</v>
      </c>
      <c r="C59">
        <v>2</v>
      </c>
      <c r="D59" s="1">
        <f>Table2[[#This Row],['# with Full 
Medical Exemption]]/Table2[[#This Row],['# of Students]]</f>
        <v>8.9325591782045551E-4</v>
      </c>
      <c r="E59">
        <v>1</v>
      </c>
      <c r="F59" s="1">
        <f>Table2[[#This Row],['# UTD with 
Partial Medical Exemption]]/Table2[[#This Row],['# of Students]]</f>
        <v>4.4662795891022776E-4</v>
      </c>
      <c r="G59">
        <v>28</v>
      </c>
      <c r="H59" s="1">
        <f>Table2[[#This Row],['# with Full 
Religous Exemption]]/Table2[[#This Row],['# of Students]]</f>
        <v>1.2505582849486378E-2</v>
      </c>
      <c r="I59">
        <v>0</v>
      </c>
      <c r="J59" s="1">
        <f>Table2[[#This Row],['# UTD with 
Partial Religious Exemption]]/Table2[[#This Row],['# of Students]]</f>
        <v>0</v>
      </c>
    </row>
    <row r="60" spans="1:10" x14ac:dyDescent="0.25">
      <c r="A60" t="s">
        <v>60</v>
      </c>
      <c r="B60">
        <v>1119</v>
      </c>
      <c r="C60">
        <v>0</v>
      </c>
      <c r="D60" s="1">
        <f>Table2[[#This Row],['# with Full 
Medical Exemption]]/Table2[[#This Row],['# of Students]]</f>
        <v>0</v>
      </c>
      <c r="E60">
        <v>1</v>
      </c>
      <c r="F60" s="1">
        <f>Table2[[#This Row],['# UTD with 
Partial Medical Exemption]]/Table2[[#This Row],['# of Students]]</f>
        <v>8.9365504915102768E-4</v>
      </c>
      <c r="G60">
        <v>27</v>
      </c>
      <c r="H60" s="1">
        <f>Table2[[#This Row],['# with Full 
Religous Exemption]]/Table2[[#This Row],['# of Students]]</f>
        <v>2.4128686327077747E-2</v>
      </c>
      <c r="I60">
        <v>0</v>
      </c>
      <c r="J60" s="1">
        <f>Table2[[#This Row],['# UTD with 
Partial Religious Exemption]]/Table2[[#This Row],['# of Students]]</f>
        <v>0</v>
      </c>
    </row>
    <row r="61" spans="1:10" x14ac:dyDescent="0.25">
      <c r="A61" t="s">
        <v>61</v>
      </c>
      <c r="B61">
        <v>92</v>
      </c>
      <c r="C61">
        <v>0</v>
      </c>
      <c r="D61" s="1">
        <f>Table2[[#This Row],['# with Full 
Medical Exemption]]/Table2[[#This Row],['# of Students]]</f>
        <v>0</v>
      </c>
      <c r="E61">
        <v>0</v>
      </c>
      <c r="F61" s="1">
        <f>Table2[[#This Row],['# UTD with 
Partial Medical Exemption]]/Table2[[#This Row],['# of Students]]</f>
        <v>0</v>
      </c>
      <c r="G61">
        <v>0</v>
      </c>
      <c r="H61" s="1">
        <f>Table2[[#This Row],['# with Full 
Religous Exemption]]/Table2[[#This Row],['# of Students]]</f>
        <v>0</v>
      </c>
      <c r="I61">
        <v>0</v>
      </c>
      <c r="J61" s="1">
        <f>Table2[[#This Row],['# UTD with 
Partial Religious Exemption]]/Table2[[#This Row],['# of Students]]</f>
        <v>0</v>
      </c>
    </row>
    <row r="62" spans="1:10" x14ac:dyDescent="0.25">
      <c r="A62" t="s">
        <v>62</v>
      </c>
      <c r="B62">
        <v>843</v>
      </c>
      <c r="C62">
        <v>1</v>
      </c>
      <c r="D62" s="1">
        <f>Table2[[#This Row],['# with Full 
Medical Exemption]]/Table2[[#This Row],['# of Students]]</f>
        <v>1.1862396204033216E-3</v>
      </c>
      <c r="E62">
        <v>0</v>
      </c>
      <c r="F62" s="1">
        <f>Table2[[#This Row],['# UTD with 
Partial Medical Exemption]]/Table2[[#This Row],['# of Students]]</f>
        <v>0</v>
      </c>
      <c r="G62">
        <v>5</v>
      </c>
      <c r="H62" s="1">
        <f>Table2[[#This Row],['# with Full 
Religous Exemption]]/Table2[[#This Row],['# of Students]]</f>
        <v>5.9311981020166073E-3</v>
      </c>
      <c r="I62">
        <v>0</v>
      </c>
      <c r="J62" s="1">
        <f>Table2[[#This Row],['# UTD with 
Partial Religious Exemption]]/Table2[[#This Row],['# of Students]]</f>
        <v>0</v>
      </c>
    </row>
    <row r="63" spans="1:10" x14ac:dyDescent="0.25">
      <c r="A63" t="s">
        <v>63</v>
      </c>
      <c r="B63">
        <v>402</v>
      </c>
      <c r="C63">
        <v>0</v>
      </c>
      <c r="D63" s="1">
        <f>Table2[[#This Row],['# with Full 
Medical Exemption]]/Table2[[#This Row],['# of Students]]</f>
        <v>0</v>
      </c>
      <c r="E63">
        <v>0</v>
      </c>
      <c r="F63" s="1">
        <f>Table2[[#This Row],['# UTD with 
Partial Medical Exemption]]/Table2[[#This Row],['# of Students]]</f>
        <v>0</v>
      </c>
      <c r="G63">
        <v>4</v>
      </c>
      <c r="H63" s="1">
        <f>Table2[[#This Row],['# with Full 
Religous Exemption]]/Table2[[#This Row],['# of Students]]</f>
        <v>9.9502487562189053E-3</v>
      </c>
      <c r="I63">
        <v>0</v>
      </c>
      <c r="J63" s="1">
        <f>Table2[[#This Row],['# UTD with 
Partial Religious Exemption]]/Table2[[#This Row],['# of Students]]</f>
        <v>0</v>
      </c>
    </row>
    <row r="64" spans="1:10" x14ac:dyDescent="0.25">
      <c r="A64" t="s">
        <v>64</v>
      </c>
      <c r="B64">
        <v>2445</v>
      </c>
      <c r="C64">
        <v>0</v>
      </c>
      <c r="D64" s="1">
        <f>Table2[[#This Row],['# with Full 
Medical Exemption]]/Table2[[#This Row],['# of Students]]</f>
        <v>0</v>
      </c>
      <c r="E64">
        <v>3</v>
      </c>
      <c r="F64" s="1">
        <f>Table2[[#This Row],['# UTD with 
Partial Medical Exemption]]/Table2[[#This Row],['# of Students]]</f>
        <v>1.2269938650306749E-3</v>
      </c>
      <c r="G64">
        <v>15</v>
      </c>
      <c r="H64" s="1">
        <f>Table2[[#This Row],['# with Full 
Religous Exemption]]/Table2[[#This Row],['# of Students]]</f>
        <v>6.1349693251533744E-3</v>
      </c>
      <c r="I64">
        <v>0</v>
      </c>
      <c r="J64" s="1">
        <f>Table2[[#This Row],['# UTD with 
Partial Religious Exemption]]/Table2[[#This Row],['# of Students]]</f>
        <v>0</v>
      </c>
    </row>
    <row r="65" spans="1:10" x14ac:dyDescent="0.25">
      <c r="A65" t="s">
        <v>65</v>
      </c>
      <c r="B65">
        <v>713</v>
      </c>
      <c r="C65">
        <v>0</v>
      </c>
      <c r="D65" s="1">
        <f>Table2[[#This Row],['# with Full 
Medical Exemption]]/Table2[[#This Row],['# of Students]]</f>
        <v>0</v>
      </c>
      <c r="E65">
        <v>0</v>
      </c>
      <c r="F65" s="1">
        <f>Table2[[#This Row],['# UTD with 
Partial Medical Exemption]]/Table2[[#This Row],['# of Students]]</f>
        <v>0</v>
      </c>
      <c r="G65">
        <v>4</v>
      </c>
      <c r="H65" s="1">
        <f>Table2[[#This Row],['# with Full 
Religous Exemption]]/Table2[[#This Row],['# of Students]]</f>
        <v>5.6100981767180924E-3</v>
      </c>
      <c r="I65">
        <v>0</v>
      </c>
      <c r="J65" s="1">
        <f>Table2[[#This Row],['# UTD with 
Partial Religious Exemption]]/Table2[[#This Row],['# of Students]]</f>
        <v>0</v>
      </c>
    </row>
    <row r="66" spans="1:10" x14ac:dyDescent="0.25">
      <c r="A66" t="s">
        <v>66</v>
      </c>
      <c r="B66">
        <v>180</v>
      </c>
      <c r="C66">
        <v>0</v>
      </c>
      <c r="D66" s="1">
        <f>Table2[[#This Row],['# with Full 
Medical Exemption]]/Table2[[#This Row],['# of Students]]</f>
        <v>0</v>
      </c>
      <c r="E66">
        <v>0</v>
      </c>
      <c r="F66" s="1">
        <f>Table2[[#This Row],['# UTD with 
Partial Medical Exemption]]/Table2[[#This Row],['# of Students]]</f>
        <v>0</v>
      </c>
      <c r="G66">
        <v>1</v>
      </c>
      <c r="H66" s="1">
        <f>Table2[[#This Row],['# with Full 
Religous Exemption]]/Table2[[#This Row],['# of Students]]</f>
        <v>5.5555555555555558E-3</v>
      </c>
      <c r="I66">
        <v>0</v>
      </c>
      <c r="J66" s="1">
        <f>Table2[[#This Row],['# UTD with 
Partial Religious Exemption]]/Table2[[#This Row],['# of Students]]</f>
        <v>0</v>
      </c>
    </row>
    <row r="67" spans="1:10" x14ac:dyDescent="0.25">
      <c r="A67" t="s">
        <v>67</v>
      </c>
      <c r="B67">
        <v>59</v>
      </c>
      <c r="C67">
        <v>0</v>
      </c>
      <c r="D67" s="1">
        <f>Table2[[#This Row],['# with Full 
Medical Exemption]]/Table2[[#This Row],['# of Students]]</f>
        <v>0</v>
      </c>
      <c r="E67">
        <v>0</v>
      </c>
      <c r="F67" s="1">
        <f>Table2[[#This Row],['# UTD with 
Partial Medical Exemption]]/Table2[[#This Row],['# of Students]]</f>
        <v>0</v>
      </c>
      <c r="G67">
        <v>1</v>
      </c>
      <c r="H67" s="1">
        <f>Table2[[#This Row],['# with Full 
Religous Exemption]]/Table2[[#This Row],['# of Students]]</f>
        <v>1.6949152542372881E-2</v>
      </c>
      <c r="I67">
        <v>0</v>
      </c>
      <c r="J67" s="1">
        <f>Table2[[#This Row],['# UTD with 
Partial Religious Exemption]]/Table2[[#This Row],['# of Students]]</f>
        <v>0</v>
      </c>
    </row>
    <row r="68" spans="1:10" x14ac:dyDescent="0.25">
      <c r="A68" t="s">
        <v>68</v>
      </c>
      <c r="B68">
        <v>264</v>
      </c>
      <c r="C68">
        <v>0</v>
      </c>
      <c r="D68" s="1">
        <f>Table2[[#This Row],['# with Full 
Medical Exemption]]/Table2[[#This Row],['# of Students]]</f>
        <v>0</v>
      </c>
      <c r="E68">
        <v>0</v>
      </c>
      <c r="F68" s="1">
        <f>Table2[[#This Row],['# UTD with 
Partial Medical Exemption]]/Table2[[#This Row],['# of Students]]</f>
        <v>0</v>
      </c>
      <c r="G68">
        <v>4</v>
      </c>
      <c r="H68" s="1">
        <f>Table2[[#This Row],['# with Full 
Religous Exemption]]/Table2[[#This Row],['# of Students]]</f>
        <v>1.5151515151515152E-2</v>
      </c>
      <c r="I68">
        <v>0</v>
      </c>
      <c r="J68" s="1">
        <f>Table2[[#This Row],['# UTD with 
Partial Religious Exemption]]/Table2[[#This Row],['# of Students]]</f>
        <v>0</v>
      </c>
    </row>
    <row r="69" spans="1:10" x14ac:dyDescent="0.25">
      <c r="B69">
        <f t="shared" ref="B69:I69" si="0">SUBTOTAL(109,B2:B68)</f>
        <v>56201</v>
      </c>
      <c r="C69">
        <f t="shared" si="0"/>
        <v>24</v>
      </c>
      <c r="D69" s="2">
        <f>Table2[[#Totals],['# with Full 
Medical Exemption]]/Table2[[#Totals],['# of Students]]</f>
        <v>4.2703866479244139E-4</v>
      </c>
      <c r="E69">
        <f t="shared" si="0"/>
        <v>41</v>
      </c>
      <c r="F69" s="2">
        <f>Table2[[#Totals],['# UTD with 
Partial Medical Exemption]]/Table2[[#Totals],['# of Students]]</f>
        <v>7.2952438568708747E-4</v>
      </c>
      <c r="G69">
        <f t="shared" si="0"/>
        <v>635</v>
      </c>
      <c r="H69" s="1">
        <f>Table2[[#Totals],['# with Full 
Religous Exemption]]/Table2[[#Totals],['# of Students]]</f>
        <v>1.1298731339300013E-2</v>
      </c>
      <c r="I69">
        <f t="shared" si="0"/>
        <v>3</v>
      </c>
      <c r="J69" s="1">
        <f>Table2[[#Totals],['# UTD with 
Partial Religious Exemption]]/Table2[[#Totals],['# of Students]]</f>
        <v>5.3379833099055174E-5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B288-E7E6-4120-815D-777B5E6B9060}">
  <dimension ref="A1:J69"/>
  <sheetViews>
    <sheetView workbookViewId="0">
      <selection activeCell="E23" sqref="E23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1" bestFit="1" customWidth="1"/>
    <col min="5" max="5" width="27" bestFit="1" customWidth="1"/>
    <col min="6" max="6" width="25.85546875" style="1" bestFit="1" customWidth="1"/>
    <col min="7" max="7" width="21.140625" bestFit="1" customWidth="1"/>
    <col min="8" max="8" width="21.140625" style="1" bestFit="1" customWidth="1"/>
    <col min="9" max="9" width="28.140625" bestFit="1" customWidth="1"/>
    <col min="10" max="10" width="28.140625" style="1" bestFit="1" customWidth="1"/>
  </cols>
  <sheetData>
    <row r="1" spans="1:10" ht="30" x14ac:dyDescent="0.25">
      <c r="A1" t="s">
        <v>0</v>
      </c>
      <c r="B1" t="s">
        <v>1</v>
      </c>
      <c r="C1" s="3" t="s">
        <v>70</v>
      </c>
      <c r="D1" s="4" t="s">
        <v>71</v>
      </c>
      <c r="E1" s="3" t="s">
        <v>72</v>
      </c>
      <c r="F1" s="4" t="s">
        <v>75</v>
      </c>
      <c r="G1" s="3" t="s">
        <v>76</v>
      </c>
      <c r="H1" s="4" t="s">
        <v>77</v>
      </c>
      <c r="I1" s="3" t="s">
        <v>73</v>
      </c>
      <c r="J1" s="4" t="s">
        <v>74</v>
      </c>
    </row>
    <row r="2" spans="1:10" x14ac:dyDescent="0.25">
      <c r="A2" t="s">
        <v>2</v>
      </c>
      <c r="B2">
        <v>763</v>
      </c>
      <c r="C2">
        <v>0</v>
      </c>
      <c r="D2" s="1">
        <f>Table3[[#This Row],['# with Full 
Medical Exemption]]/Table3[[#This Row],['# of Students]]</f>
        <v>0</v>
      </c>
      <c r="E2">
        <v>1</v>
      </c>
      <c r="F2" s="1">
        <f>Table3[[#This Row],['# UTD with 
Partial Medical Exemption]]/Table3[[#This Row],['# of Students]]</f>
        <v>1.3106159895150721E-3</v>
      </c>
      <c r="G2">
        <v>20</v>
      </c>
      <c r="H2" s="1">
        <f>Table3[[#This Row],['# with Full 
Religous Exemption]]/Table3[[#This Row],['# of Students]]</f>
        <v>2.621231979030144E-2</v>
      </c>
      <c r="I2">
        <v>0</v>
      </c>
      <c r="J2" s="1">
        <f>Table3[[#This Row],['# UTD with 
Partial Religious Exemption]]/Table3[[#This Row],['# of Students]]</f>
        <v>0</v>
      </c>
    </row>
    <row r="3" spans="1:10" x14ac:dyDescent="0.25">
      <c r="A3" t="s">
        <v>3</v>
      </c>
      <c r="B3">
        <v>2726</v>
      </c>
      <c r="C3">
        <v>3</v>
      </c>
      <c r="D3" s="1">
        <f>Table3[[#This Row],['# with Full 
Medical Exemption]]/Table3[[#This Row],['# of Students]]</f>
        <v>1.1005135730007337E-3</v>
      </c>
      <c r="E3">
        <v>8</v>
      </c>
      <c r="F3" s="1">
        <f>Table3[[#This Row],['# UTD with 
Partial Medical Exemption]]/Table3[[#This Row],['# of Students]]</f>
        <v>2.93470286133529E-3</v>
      </c>
      <c r="G3">
        <v>104</v>
      </c>
      <c r="H3" s="1">
        <f>Table3[[#This Row],['# with Full 
Religous Exemption]]/Table3[[#This Row],['# of Students]]</f>
        <v>3.815113719735877E-2</v>
      </c>
      <c r="I3">
        <v>0</v>
      </c>
      <c r="J3" s="1">
        <f>Table3[[#This Row],['# UTD with 
Partial Religious Exemption]]/Table3[[#This Row],['# of Students]]</f>
        <v>0</v>
      </c>
    </row>
    <row r="4" spans="1:10" x14ac:dyDescent="0.25">
      <c r="A4" t="s">
        <v>4</v>
      </c>
      <c r="B4">
        <v>505</v>
      </c>
      <c r="C4">
        <v>1</v>
      </c>
      <c r="D4" s="1">
        <f>Table3[[#This Row],['# with Full 
Medical Exemption]]/Table3[[#This Row],['# of Students]]</f>
        <v>1.9801980198019802E-3</v>
      </c>
      <c r="E4">
        <v>0</v>
      </c>
      <c r="F4" s="1">
        <f>Table3[[#This Row],['# UTD with 
Partial Medical Exemption]]/Table3[[#This Row],['# of Students]]</f>
        <v>0</v>
      </c>
      <c r="G4">
        <v>15</v>
      </c>
      <c r="H4" s="1">
        <f>Table3[[#This Row],['# with Full 
Religous Exemption]]/Table3[[#This Row],['# of Students]]</f>
        <v>2.9702970297029702E-2</v>
      </c>
      <c r="I4">
        <v>0</v>
      </c>
      <c r="J4" s="1">
        <f>Table3[[#This Row],['# UTD with 
Partial Religious Exemption]]/Table3[[#This Row],['# of Students]]</f>
        <v>0</v>
      </c>
    </row>
    <row r="5" spans="1:10" x14ac:dyDescent="0.25">
      <c r="A5" t="s">
        <v>5</v>
      </c>
      <c r="B5">
        <v>228</v>
      </c>
      <c r="C5">
        <v>0</v>
      </c>
      <c r="D5" s="1">
        <f>Table3[[#This Row],['# with Full 
Medical Exemption]]/Table3[[#This Row],['# of Students]]</f>
        <v>0</v>
      </c>
      <c r="E5">
        <v>0</v>
      </c>
      <c r="F5" s="1">
        <f>Table3[[#This Row],['# UTD with 
Partial Medical Exemption]]/Table3[[#This Row],['# of Students]]</f>
        <v>0</v>
      </c>
      <c r="G5">
        <v>5</v>
      </c>
      <c r="H5" s="1">
        <f>Table3[[#This Row],['# with Full 
Religous Exemption]]/Table3[[#This Row],['# of Students]]</f>
        <v>2.1929824561403508E-2</v>
      </c>
      <c r="I5">
        <v>0</v>
      </c>
      <c r="J5" s="1">
        <f>Table3[[#This Row],['# UTD with 
Partial Religious Exemption]]/Table3[[#This Row],['# of Students]]</f>
        <v>0</v>
      </c>
    </row>
    <row r="6" spans="1:10" x14ac:dyDescent="0.25">
      <c r="A6" t="s">
        <v>6</v>
      </c>
      <c r="B6">
        <v>722</v>
      </c>
      <c r="C6">
        <v>0</v>
      </c>
      <c r="D6" s="1">
        <f>Table3[[#This Row],['# with Full 
Medical Exemption]]/Table3[[#This Row],['# of Students]]</f>
        <v>0</v>
      </c>
      <c r="E6">
        <v>0</v>
      </c>
      <c r="F6" s="1">
        <f>Table3[[#This Row],['# UTD with 
Partial Medical Exemption]]/Table3[[#This Row],['# of Students]]</f>
        <v>0</v>
      </c>
      <c r="G6">
        <v>7</v>
      </c>
      <c r="H6" s="1">
        <f>Table3[[#This Row],['# with Full 
Religous Exemption]]/Table3[[#This Row],['# of Students]]</f>
        <v>9.6952908587257611E-3</v>
      </c>
      <c r="I6">
        <v>0</v>
      </c>
      <c r="J6" s="1">
        <f>Table3[[#This Row],['# UTD with 
Partial Religious Exemption]]/Table3[[#This Row],['# of Students]]</f>
        <v>0</v>
      </c>
    </row>
    <row r="7" spans="1:10" x14ac:dyDescent="0.25">
      <c r="A7" t="s">
        <v>7</v>
      </c>
      <c r="B7">
        <v>112</v>
      </c>
      <c r="C7">
        <v>0</v>
      </c>
      <c r="D7" s="1">
        <f>Table3[[#This Row],['# with Full 
Medical Exemption]]/Table3[[#This Row],['# of Students]]</f>
        <v>0</v>
      </c>
      <c r="E7">
        <v>0</v>
      </c>
      <c r="F7" s="1">
        <f>Table3[[#This Row],['# UTD with 
Partial Medical Exemption]]/Table3[[#This Row],['# of Students]]</f>
        <v>0</v>
      </c>
      <c r="G7">
        <v>0</v>
      </c>
      <c r="H7" s="1">
        <f>Table3[[#This Row],['# with Full 
Religous Exemption]]/Table3[[#This Row],['# of Students]]</f>
        <v>0</v>
      </c>
      <c r="I7">
        <v>0</v>
      </c>
      <c r="J7" s="1">
        <f>Table3[[#This Row],['# UTD with 
Partial Religious Exemption]]/Table3[[#This Row],['# of Students]]</f>
        <v>0</v>
      </c>
    </row>
    <row r="8" spans="1:10" x14ac:dyDescent="0.25">
      <c r="A8" t="s">
        <v>8</v>
      </c>
      <c r="B8">
        <v>232</v>
      </c>
      <c r="C8">
        <v>0</v>
      </c>
      <c r="D8" s="1">
        <f>Table3[[#This Row],['# with Full 
Medical Exemption]]/Table3[[#This Row],['# of Students]]</f>
        <v>0</v>
      </c>
      <c r="E8">
        <v>0</v>
      </c>
      <c r="F8" s="1">
        <f>Table3[[#This Row],['# UTD with 
Partial Medical Exemption]]/Table3[[#This Row],['# of Students]]</f>
        <v>0</v>
      </c>
      <c r="G8">
        <v>1</v>
      </c>
      <c r="H8" s="1">
        <f>Table3[[#This Row],['# with Full 
Religous Exemption]]/Table3[[#This Row],['# of Students]]</f>
        <v>4.3103448275862068E-3</v>
      </c>
      <c r="I8">
        <v>0</v>
      </c>
      <c r="J8" s="1">
        <f>Table3[[#This Row],['# UTD with 
Partial Religious Exemption]]/Table3[[#This Row],['# of Students]]</f>
        <v>0</v>
      </c>
    </row>
    <row r="9" spans="1:10" x14ac:dyDescent="0.25">
      <c r="A9" t="s">
        <v>9</v>
      </c>
      <c r="B9">
        <v>1432</v>
      </c>
      <c r="C9">
        <v>2</v>
      </c>
      <c r="D9" s="1">
        <f>Table3[[#This Row],['# with Full 
Medical Exemption]]/Table3[[#This Row],['# of Students]]</f>
        <v>1.3966480446927375E-3</v>
      </c>
      <c r="E9">
        <v>2</v>
      </c>
      <c r="F9" s="1">
        <f>Table3[[#This Row],['# UTD with 
Partial Medical Exemption]]/Table3[[#This Row],['# of Students]]</f>
        <v>1.3966480446927375E-3</v>
      </c>
      <c r="G9">
        <v>26</v>
      </c>
      <c r="H9" s="1">
        <f>Table3[[#This Row],['# with Full 
Religous Exemption]]/Table3[[#This Row],['# of Students]]</f>
        <v>1.8156424581005588E-2</v>
      </c>
      <c r="I9">
        <v>1</v>
      </c>
      <c r="J9" s="1">
        <f>Table3[[#This Row],['# UTD with 
Partial Religious Exemption]]/Table3[[#This Row],['# of Students]]</f>
        <v>6.9832402234636874E-4</v>
      </c>
    </row>
    <row r="10" spans="1:10" x14ac:dyDescent="0.25">
      <c r="A10" t="s">
        <v>10</v>
      </c>
      <c r="B10">
        <v>318</v>
      </c>
      <c r="C10">
        <v>0</v>
      </c>
      <c r="D10" s="1">
        <f>Table3[[#This Row],['# with Full 
Medical Exemption]]/Table3[[#This Row],['# of Students]]</f>
        <v>0</v>
      </c>
      <c r="E10">
        <v>0</v>
      </c>
      <c r="F10" s="1">
        <f>Table3[[#This Row],['# UTD with 
Partial Medical Exemption]]/Table3[[#This Row],['# of Students]]</f>
        <v>0</v>
      </c>
      <c r="G10">
        <v>0</v>
      </c>
      <c r="H10" s="1">
        <f>Table3[[#This Row],['# with Full 
Religous Exemption]]/Table3[[#This Row],['# of Students]]</f>
        <v>0</v>
      </c>
      <c r="I10">
        <v>0</v>
      </c>
      <c r="J10" s="1">
        <f>Table3[[#This Row],['# UTD with 
Partial Religious Exemption]]/Table3[[#This Row],['# of Students]]</f>
        <v>0</v>
      </c>
    </row>
    <row r="11" spans="1:10" x14ac:dyDescent="0.25">
      <c r="A11" t="s">
        <v>11</v>
      </c>
      <c r="B11">
        <v>377</v>
      </c>
      <c r="C11">
        <v>0</v>
      </c>
      <c r="D11" s="1">
        <f>Table3[[#This Row],['# with Full 
Medical Exemption]]/Table3[[#This Row],['# of Students]]</f>
        <v>0</v>
      </c>
      <c r="E11">
        <v>1</v>
      </c>
      <c r="F11" s="1">
        <f>Table3[[#This Row],['# UTD with 
Partial Medical Exemption]]/Table3[[#This Row],['# of Students]]</f>
        <v>2.6525198938992041E-3</v>
      </c>
      <c r="G11">
        <v>7</v>
      </c>
      <c r="H11" s="1">
        <f>Table3[[#This Row],['# with Full 
Religous Exemption]]/Table3[[#This Row],['# of Students]]</f>
        <v>1.8567639257294429E-2</v>
      </c>
      <c r="I11">
        <v>0</v>
      </c>
      <c r="J11" s="1">
        <f>Table3[[#This Row],['# UTD with 
Partial Religious Exemption]]/Table3[[#This Row],['# of Students]]</f>
        <v>0</v>
      </c>
    </row>
    <row r="12" spans="1:10" x14ac:dyDescent="0.25">
      <c r="A12" t="s">
        <v>12</v>
      </c>
      <c r="B12">
        <v>527</v>
      </c>
      <c r="C12">
        <v>0</v>
      </c>
      <c r="D12" s="1">
        <f>Table3[[#This Row],['# with Full 
Medical Exemption]]/Table3[[#This Row],['# of Students]]</f>
        <v>0</v>
      </c>
      <c r="E12">
        <v>0</v>
      </c>
      <c r="F12" s="1">
        <f>Table3[[#This Row],['# UTD with 
Partial Medical Exemption]]/Table3[[#This Row],['# of Students]]</f>
        <v>0</v>
      </c>
      <c r="G12">
        <v>7</v>
      </c>
      <c r="H12" s="1">
        <f>Table3[[#This Row],['# with Full 
Religous Exemption]]/Table3[[#This Row],['# of Students]]</f>
        <v>1.3282732447817837E-2</v>
      </c>
      <c r="I12">
        <v>0</v>
      </c>
      <c r="J12" s="1">
        <f>Table3[[#This Row],['# UTD with 
Partial Religious Exemption]]/Table3[[#This Row],['# of Students]]</f>
        <v>0</v>
      </c>
    </row>
    <row r="13" spans="1:10" x14ac:dyDescent="0.25">
      <c r="A13" t="s">
        <v>13</v>
      </c>
      <c r="B13">
        <v>111</v>
      </c>
      <c r="C13">
        <v>0</v>
      </c>
      <c r="D13" s="1">
        <f>Table3[[#This Row],['# with Full 
Medical Exemption]]/Table3[[#This Row],['# of Students]]</f>
        <v>0</v>
      </c>
      <c r="E13">
        <v>0</v>
      </c>
      <c r="F13" s="1">
        <f>Table3[[#This Row],['# UTD with 
Partial Medical Exemption]]/Table3[[#This Row],['# of Students]]</f>
        <v>0</v>
      </c>
      <c r="G13">
        <v>1</v>
      </c>
      <c r="H13" s="1">
        <f>Table3[[#This Row],['# with Full 
Religous Exemption]]/Table3[[#This Row],['# of Students]]</f>
        <v>9.0090090090090089E-3</v>
      </c>
      <c r="I13">
        <v>0</v>
      </c>
      <c r="J13" s="1">
        <f>Table3[[#This Row],['# UTD with 
Partial Religious Exemption]]/Table3[[#This Row],['# of Students]]</f>
        <v>0</v>
      </c>
    </row>
    <row r="14" spans="1:10" x14ac:dyDescent="0.25">
      <c r="A14" t="s">
        <v>14</v>
      </c>
      <c r="B14">
        <v>288</v>
      </c>
      <c r="C14">
        <v>0</v>
      </c>
      <c r="D14" s="1">
        <f>Table3[[#This Row],['# with Full 
Medical Exemption]]/Table3[[#This Row],['# of Students]]</f>
        <v>0</v>
      </c>
      <c r="E14">
        <v>0</v>
      </c>
      <c r="F14" s="1">
        <f>Table3[[#This Row],['# UTD with 
Partial Medical Exemption]]/Table3[[#This Row],['# of Students]]</f>
        <v>0</v>
      </c>
      <c r="G14">
        <v>2</v>
      </c>
      <c r="H14" s="1">
        <f>Table3[[#This Row],['# with Full 
Religous Exemption]]/Table3[[#This Row],['# of Students]]</f>
        <v>6.9444444444444441E-3</v>
      </c>
      <c r="I14">
        <v>0</v>
      </c>
      <c r="J14" s="1">
        <f>Table3[[#This Row],['# UTD with 
Partial Religious Exemption]]/Table3[[#This Row],['# of Students]]</f>
        <v>0</v>
      </c>
    </row>
    <row r="15" spans="1:10" x14ac:dyDescent="0.25">
      <c r="A15" t="s">
        <v>15</v>
      </c>
      <c r="B15">
        <v>190</v>
      </c>
      <c r="C15">
        <v>0</v>
      </c>
      <c r="D15" s="1">
        <f>Table3[[#This Row],['# with Full 
Medical Exemption]]/Table3[[#This Row],['# of Students]]</f>
        <v>0</v>
      </c>
      <c r="E15">
        <v>0</v>
      </c>
      <c r="F15" s="1">
        <f>Table3[[#This Row],['# UTD with 
Partial Medical Exemption]]/Table3[[#This Row],['# of Students]]</f>
        <v>0</v>
      </c>
      <c r="G15">
        <v>1</v>
      </c>
      <c r="H15" s="1">
        <f>Table3[[#This Row],['# with Full 
Religous Exemption]]/Table3[[#This Row],['# of Students]]</f>
        <v>5.263157894736842E-3</v>
      </c>
      <c r="I15">
        <v>0</v>
      </c>
      <c r="J15" s="1">
        <f>Table3[[#This Row],['# UTD with 
Partial Religious Exemption]]/Table3[[#This Row],['# of Students]]</f>
        <v>0</v>
      </c>
    </row>
    <row r="16" spans="1:10" x14ac:dyDescent="0.25">
      <c r="A16" t="s">
        <v>16</v>
      </c>
      <c r="B16">
        <v>183</v>
      </c>
      <c r="C16">
        <v>0</v>
      </c>
      <c r="D16" s="1">
        <f>Table3[[#This Row],['# with Full 
Medical Exemption]]/Table3[[#This Row],['# of Students]]</f>
        <v>0</v>
      </c>
      <c r="E16">
        <v>0</v>
      </c>
      <c r="F16" s="1">
        <f>Table3[[#This Row],['# UTD with 
Partial Medical Exemption]]/Table3[[#This Row],['# of Students]]</f>
        <v>0</v>
      </c>
      <c r="G16">
        <v>4</v>
      </c>
      <c r="H16" s="1">
        <f>Table3[[#This Row],['# with Full 
Religous Exemption]]/Table3[[#This Row],['# of Students]]</f>
        <v>2.185792349726776E-2</v>
      </c>
      <c r="I16">
        <v>0</v>
      </c>
      <c r="J16" s="1">
        <f>Table3[[#This Row],['# UTD with 
Partial Religious Exemption]]/Table3[[#This Row],['# of Students]]</f>
        <v>0</v>
      </c>
    </row>
    <row r="17" spans="1:10" x14ac:dyDescent="0.25">
      <c r="A17" t="s">
        <v>17</v>
      </c>
      <c r="B17">
        <v>865</v>
      </c>
      <c r="C17">
        <v>3</v>
      </c>
      <c r="D17" s="1">
        <f>Table3[[#This Row],['# with Full 
Medical Exemption]]/Table3[[#This Row],['# of Students]]</f>
        <v>3.4682080924855491E-3</v>
      </c>
      <c r="E17">
        <v>0</v>
      </c>
      <c r="F17" s="1">
        <f>Table3[[#This Row],['# UTD with 
Partial Medical Exemption]]/Table3[[#This Row],['# of Students]]</f>
        <v>0</v>
      </c>
      <c r="G17">
        <v>14</v>
      </c>
      <c r="H17" s="1">
        <f>Table3[[#This Row],['# with Full 
Religous Exemption]]/Table3[[#This Row],['# of Students]]</f>
        <v>1.6184971098265895E-2</v>
      </c>
      <c r="I17">
        <v>0</v>
      </c>
      <c r="J17" s="1">
        <f>Table3[[#This Row],['# UTD with 
Partial Religious Exemption]]/Table3[[#This Row],['# of Students]]</f>
        <v>0</v>
      </c>
    </row>
    <row r="18" spans="1:10" x14ac:dyDescent="0.25">
      <c r="A18" t="s">
        <v>18</v>
      </c>
      <c r="B18">
        <v>643</v>
      </c>
      <c r="C18">
        <v>0</v>
      </c>
      <c r="D18" s="1">
        <f>Table3[[#This Row],['# with Full 
Medical Exemption]]/Table3[[#This Row],['# of Students]]</f>
        <v>0</v>
      </c>
      <c r="E18">
        <v>2</v>
      </c>
      <c r="F18" s="1">
        <f>Table3[[#This Row],['# UTD with 
Partial Medical Exemption]]/Table3[[#This Row],['# of Students]]</f>
        <v>3.1104199066874028E-3</v>
      </c>
      <c r="G18">
        <v>9</v>
      </c>
      <c r="H18" s="1">
        <f>Table3[[#This Row],['# with Full 
Religous Exemption]]/Table3[[#This Row],['# of Students]]</f>
        <v>1.3996889580093312E-2</v>
      </c>
      <c r="I18">
        <v>0</v>
      </c>
      <c r="J18" s="1">
        <f>Table3[[#This Row],['# UTD with 
Partial Religious Exemption]]/Table3[[#This Row],['# of Students]]</f>
        <v>0</v>
      </c>
    </row>
    <row r="19" spans="1:10" x14ac:dyDescent="0.25">
      <c r="A19" t="s">
        <v>19</v>
      </c>
      <c r="B19">
        <v>116</v>
      </c>
      <c r="C19">
        <v>0</v>
      </c>
      <c r="D19" s="1">
        <f>Table3[[#This Row],['# with Full 
Medical Exemption]]/Table3[[#This Row],['# of Students]]</f>
        <v>0</v>
      </c>
      <c r="E19">
        <v>0</v>
      </c>
      <c r="F19" s="1">
        <f>Table3[[#This Row],['# UTD with 
Partial Medical Exemption]]/Table3[[#This Row],['# of Students]]</f>
        <v>0</v>
      </c>
      <c r="G19">
        <v>0</v>
      </c>
      <c r="H19" s="1">
        <f>Table3[[#This Row],['# with Full 
Religous Exemption]]/Table3[[#This Row],['# of Students]]</f>
        <v>0</v>
      </c>
      <c r="I19">
        <v>0</v>
      </c>
      <c r="J19" s="1">
        <f>Table3[[#This Row],['# UTD with 
Partial Religious Exemption]]/Table3[[#This Row],['# of Students]]</f>
        <v>0</v>
      </c>
    </row>
    <row r="20" spans="1:10" x14ac:dyDescent="0.25">
      <c r="A20" t="s">
        <v>20</v>
      </c>
      <c r="B20">
        <v>69</v>
      </c>
      <c r="C20">
        <v>0</v>
      </c>
      <c r="D20" s="1">
        <f>Table3[[#This Row],['# with Full 
Medical Exemption]]/Table3[[#This Row],['# of Students]]</f>
        <v>0</v>
      </c>
      <c r="E20">
        <v>0</v>
      </c>
      <c r="F20" s="1">
        <f>Table3[[#This Row],['# UTD with 
Partial Medical Exemption]]/Table3[[#This Row],['# of Students]]</f>
        <v>0</v>
      </c>
      <c r="G20">
        <v>2</v>
      </c>
      <c r="H20" s="1">
        <f>Table3[[#This Row],['# with Full 
Religous Exemption]]/Table3[[#This Row],['# of Students]]</f>
        <v>2.8985507246376812E-2</v>
      </c>
      <c r="I20">
        <v>0</v>
      </c>
      <c r="J20" s="1">
        <f>Table3[[#This Row],['# UTD with 
Partial Religious Exemption]]/Table3[[#This Row],['# of Students]]</f>
        <v>0</v>
      </c>
    </row>
    <row r="21" spans="1:10" x14ac:dyDescent="0.25">
      <c r="A21" t="s">
        <v>21</v>
      </c>
      <c r="B21">
        <v>482</v>
      </c>
      <c r="C21">
        <v>1</v>
      </c>
      <c r="D21" s="1">
        <f>Table3[[#This Row],['# with Full 
Medical Exemption]]/Table3[[#This Row],['# of Students]]</f>
        <v>2.0746887966804979E-3</v>
      </c>
      <c r="E21">
        <v>0</v>
      </c>
      <c r="F21" s="1">
        <f>Table3[[#This Row],['# UTD with 
Partial Medical Exemption]]/Table3[[#This Row],['# of Students]]</f>
        <v>0</v>
      </c>
      <c r="G21">
        <v>7</v>
      </c>
      <c r="H21" s="1">
        <f>Table3[[#This Row],['# with Full 
Religous Exemption]]/Table3[[#This Row],['# of Students]]</f>
        <v>1.4522821576763486E-2</v>
      </c>
      <c r="I21">
        <v>0</v>
      </c>
      <c r="J21" s="1">
        <f>Table3[[#This Row],['# UTD with 
Partial Religious Exemption]]/Table3[[#This Row],['# of Students]]</f>
        <v>0</v>
      </c>
    </row>
    <row r="22" spans="1:10" x14ac:dyDescent="0.25">
      <c r="A22" t="s">
        <v>22</v>
      </c>
      <c r="B22">
        <v>210</v>
      </c>
      <c r="C22">
        <v>0</v>
      </c>
      <c r="D22" s="1">
        <f>Table3[[#This Row],['# with Full 
Medical Exemption]]/Table3[[#This Row],['# of Students]]</f>
        <v>0</v>
      </c>
      <c r="E22">
        <v>0</v>
      </c>
      <c r="F22" s="1">
        <f>Table3[[#This Row],['# UTD with 
Partial Medical Exemption]]/Table3[[#This Row],['# of Students]]</f>
        <v>0</v>
      </c>
      <c r="G22">
        <v>1</v>
      </c>
      <c r="H22" s="1">
        <f>Table3[[#This Row],['# with Full 
Religous Exemption]]/Table3[[#This Row],['# of Students]]</f>
        <v>4.7619047619047623E-3</v>
      </c>
      <c r="I22">
        <v>0</v>
      </c>
      <c r="J22" s="1">
        <f>Table3[[#This Row],['# UTD with 
Partial Religious Exemption]]/Table3[[#This Row],['# of Students]]</f>
        <v>0</v>
      </c>
    </row>
    <row r="23" spans="1:10" x14ac:dyDescent="0.25">
      <c r="A23" t="s">
        <v>23</v>
      </c>
      <c r="B23">
        <v>1122</v>
      </c>
      <c r="C23">
        <v>0</v>
      </c>
      <c r="D23" s="1">
        <f>Table3[[#This Row],['# with Full 
Medical Exemption]]/Table3[[#This Row],['# of Students]]</f>
        <v>0</v>
      </c>
      <c r="E23">
        <v>0</v>
      </c>
      <c r="F23" s="1">
        <f>Table3[[#This Row],['# UTD with 
Partial Medical Exemption]]/Table3[[#This Row],['# of Students]]</f>
        <v>0</v>
      </c>
      <c r="G23">
        <v>24</v>
      </c>
      <c r="H23" s="1">
        <f>Table3[[#This Row],['# with Full 
Religous Exemption]]/Table3[[#This Row],['# of Students]]</f>
        <v>2.1390374331550801E-2</v>
      </c>
      <c r="I23">
        <v>0</v>
      </c>
      <c r="J23" s="1">
        <f>Table3[[#This Row],['# UTD with 
Partial Religious Exemption]]/Table3[[#This Row],['# of Students]]</f>
        <v>0</v>
      </c>
    </row>
    <row r="24" spans="1:10" x14ac:dyDescent="0.25">
      <c r="A24" t="s">
        <v>24</v>
      </c>
      <c r="B24">
        <v>507</v>
      </c>
      <c r="C24">
        <v>0</v>
      </c>
      <c r="D24" s="1">
        <f>Table3[[#This Row],['# with Full 
Medical Exemption]]/Table3[[#This Row],['# of Students]]</f>
        <v>0</v>
      </c>
      <c r="E24">
        <v>3</v>
      </c>
      <c r="F24" s="1">
        <f>Table3[[#This Row],['# UTD with 
Partial Medical Exemption]]/Table3[[#This Row],['# of Students]]</f>
        <v>5.9171597633136093E-3</v>
      </c>
      <c r="G24">
        <v>7</v>
      </c>
      <c r="H24" s="1">
        <f>Table3[[#This Row],['# with Full 
Religous Exemption]]/Table3[[#This Row],['# of Students]]</f>
        <v>1.3806706114398421E-2</v>
      </c>
      <c r="I24">
        <v>0</v>
      </c>
      <c r="J24" s="1">
        <f>Table3[[#This Row],['# UTD with 
Partial Religious Exemption]]/Table3[[#This Row],['# of Students]]</f>
        <v>0</v>
      </c>
    </row>
    <row r="25" spans="1:10" x14ac:dyDescent="0.25">
      <c r="A25" t="s">
        <v>25</v>
      </c>
      <c r="B25">
        <v>359</v>
      </c>
      <c r="C25">
        <v>0</v>
      </c>
      <c r="D25" s="1">
        <f>Table3[[#This Row],['# with Full 
Medical Exemption]]/Table3[[#This Row],['# of Students]]</f>
        <v>0</v>
      </c>
      <c r="E25">
        <v>0</v>
      </c>
      <c r="F25" s="1">
        <f>Table3[[#This Row],['# UTD with 
Partial Medical Exemption]]/Table3[[#This Row],['# of Students]]</f>
        <v>0</v>
      </c>
      <c r="G25">
        <v>3</v>
      </c>
      <c r="H25" s="1">
        <f>Table3[[#This Row],['# with Full 
Religous Exemption]]/Table3[[#This Row],['# of Students]]</f>
        <v>8.356545961002786E-3</v>
      </c>
      <c r="I25">
        <v>0</v>
      </c>
      <c r="J25" s="1">
        <f>Table3[[#This Row],['# UTD with 
Partial Religious Exemption]]/Table3[[#This Row],['# of Students]]</f>
        <v>0</v>
      </c>
    </row>
    <row r="26" spans="1:10" x14ac:dyDescent="0.25">
      <c r="A26" t="s">
        <v>26</v>
      </c>
      <c r="B26">
        <v>988</v>
      </c>
      <c r="C26">
        <v>0</v>
      </c>
      <c r="D26" s="1">
        <f>Table3[[#This Row],['# with Full 
Medical Exemption]]/Table3[[#This Row],['# of Students]]</f>
        <v>0</v>
      </c>
      <c r="E26">
        <v>0</v>
      </c>
      <c r="F26" s="1">
        <f>Table3[[#This Row],['# UTD with 
Partial Medical Exemption]]/Table3[[#This Row],['# of Students]]</f>
        <v>0</v>
      </c>
      <c r="G26">
        <v>10</v>
      </c>
      <c r="H26" s="1">
        <f>Table3[[#This Row],['# with Full 
Religous Exemption]]/Table3[[#This Row],['# of Students]]</f>
        <v>1.0121457489878543E-2</v>
      </c>
      <c r="I26">
        <v>0</v>
      </c>
      <c r="J26" s="1">
        <f>Table3[[#This Row],['# UTD with 
Partial Religious Exemption]]/Table3[[#This Row],['# of Students]]</f>
        <v>0</v>
      </c>
    </row>
    <row r="27" spans="1:10" x14ac:dyDescent="0.25">
      <c r="A27" t="s">
        <v>27</v>
      </c>
      <c r="B27">
        <v>1074</v>
      </c>
      <c r="C27">
        <v>1</v>
      </c>
      <c r="D27" s="1">
        <f>Table3[[#This Row],['# with Full 
Medical Exemption]]/Table3[[#This Row],['# of Students]]</f>
        <v>9.3109869646182495E-4</v>
      </c>
      <c r="E27">
        <v>0</v>
      </c>
      <c r="F27" s="1">
        <f>Table3[[#This Row],['# UTD with 
Partial Medical Exemption]]/Table3[[#This Row],['# of Students]]</f>
        <v>0</v>
      </c>
      <c r="G27">
        <v>22</v>
      </c>
      <c r="H27" s="1">
        <f>Table3[[#This Row],['# with Full 
Religous Exemption]]/Table3[[#This Row],['# of Students]]</f>
        <v>2.0484171322160148E-2</v>
      </c>
      <c r="I27">
        <v>0</v>
      </c>
      <c r="J27" s="1">
        <f>Table3[[#This Row],['# UTD with 
Partial Religious Exemption]]/Table3[[#This Row],['# of Students]]</f>
        <v>0</v>
      </c>
    </row>
    <row r="28" spans="1:10" x14ac:dyDescent="0.25">
      <c r="A28" t="s">
        <v>28</v>
      </c>
      <c r="B28">
        <v>484</v>
      </c>
      <c r="C28">
        <v>0</v>
      </c>
      <c r="D28" s="1">
        <f>Table3[[#This Row],['# with Full 
Medical Exemption]]/Table3[[#This Row],['# of Students]]</f>
        <v>0</v>
      </c>
      <c r="E28">
        <v>1</v>
      </c>
      <c r="F28" s="1">
        <f>Table3[[#This Row],['# UTD with 
Partial Medical Exemption]]/Table3[[#This Row],['# of Students]]</f>
        <v>2.0661157024793389E-3</v>
      </c>
      <c r="G28">
        <v>4</v>
      </c>
      <c r="H28" s="1">
        <f>Table3[[#This Row],['# with Full 
Religous Exemption]]/Table3[[#This Row],['# of Students]]</f>
        <v>8.2644628099173556E-3</v>
      </c>
      <c r="I28">
        <v>0</v>
      </c>
      <c r="J28" s="1">
        <f>Table3[[#This Row],['# UTD with 
Partial Religious Exemption]]/Table3[[#This Row],['# of Students]]</f>
        <v>0</v>
      </c>
    </row>
    <row r="29" spans="1:10" x14ac:dyDescent="0.25">
      <c r="A29" t="s">
        <v>29</v>
      </c>
      <c r="B29">
        <v>1276</v>
      </c>
      <c r="C29">
        <v>4</v>
      </c>
      <c r="D29" s="1">
        <f>Table3[[#This Row],['# with Full 
Medical Exemption]]/Table3[[#This Row],['# of Students]]</f>
        <v>3.134796238244514E-3</v>
      </c>
      <c r="E29">
        <v>1</v>
      </c>
      <c r="F29" s="1">
        <f>Table3[[#This Row],['# UTD with 
Partial Medical Exemption]]/Table3[[#This Row],['# of Students]]</f>
        <v>7.836990595611285E-4</v>
      </c>
      <c r="G29">
        <v>16</v>
      </c>
      <c r="H29" s="1">
        <f>Table3[[#This Row],['# with Full 
Religous Exemption]]/Table3[[#This Row],['# of Students]]</f>
        <v>1.2539184952978056E-2</v>
      </c>
      <c r="I29">
        <v>0</v>
      </c>
      <c r="J29" s="1">
        <f>Table3[[#This Row],['# UTD with 
Partial Religious Exemption]]/Table3[[#This Row],['# of Students]]</f>
        <v>0</v>
      </c>
    </row>
    <row r="30" spans="1:10" x14ac:dyDescent="0.25">
      <c r="A30" t="s">
        <v>30</v>
      </c>
      <c r="B30">
        <v>187</v>
      </c>
      <c r="C30">
        <v>0</v>
      </c>
      <c r="D30" s="1">
        <f>Table3[[#This Row],['# with Full 
Medical Exemption]]/Table3[[#This Row],['# of Students]]</f>
        <v>0</v>
      </c>
      <c r="E30">
        <v>0</v>
      </c>
      <c r="F30" s="1">
        <f>Table3[[#This Row],['# UTD with 
Partial Medical Exemption]]/Table3[[#This Row],['# of Students]]</f>
        <v>0</v>
      </c>
      <c r="G30">
        <v>1</v>
      </c>
      <c r="H30" s="1">
        <f>Table3[[#This Row],['# with Full 
Religous Exemption]]/Table3[[#This Row],['# of Students]]</f>
        <v>5.3475935828877002E-3</v>
      </c>
      <c r="I30">
        <v>0</v>
      </c>
      <c r="J30" s="1">
        <f>Table3[[#This Row],['# UTD with 
Partial Religious Exemption]]/Table3[[#This Row],['# of Students]]</f>
        <v>0</v>
      </c>
    </row>
    <row r="31" spans="1:10" x14ac:dyDescent="0.25">
      <c r="A31" t="s">
        <v>31</v>
      </c>
      <c r="B31">
        <v>481</v>
      </c>
      <c r="C31">
        <v>0</v>
      </c>
      <c r="D31" s="1">
        <f>Table3[[#This Row],['# with Full 
Medical Exemption]]/Table3[[#This Row],['# of Students]]</f>
        <v>0</v>
      </c>
      <c r="E31">
        <v>0</v>
      </c>
      <c r="F31" s="1">
        <f>Table3[[#This Row],['# UTD with 
Partial Medical Exemption]]/Table3[[#This Row],['# of Students]]</f>
        <v>0</v>
      </c>
      <c r="G31">
        <v>3</v>
      </c>
      <c r="H31" s="1">
        <f>Table3[[#This Row],['# with Full 
Religous Exemption]]/Table3[[#This Row],['# of Students]]</f>
        <v>6.2370062370062374E-3</v>
      </c>
      <c r="I31">
        <v>0</v>
      </c>
      <c r="J31" s="1">
        <f>Table3[[#This Row],['# UTD with 
Partial Religious Exemption]]/Table3[[#This Row],['# of Students]]</f>
        <v>0</v>
      </c>
    </row>
    <row r="32" spans="1:10" x14ac:dyDescent="0.25">
      <c r="A32" t="s">
        <v>32</v>
      </c>
      <c r="B32">
        <v>311</v>
      </c>
      <c r="C32">
        <v>1</v>
      </c>
      <c r="D32" s="1">
        <f>Table3[[#This Row],['# with Full 
Medical Exemption]]/Table3[[#This Row],['# of Students]]</f>
        <v>3.2154340836012861E-3</v>
      </c>
      <c r="E32">
        <v>0</v>
      </c>
      <c r="F32" s="1">
        <f>Table3[[#This Row],['# UTD with 
Partial Medical Exemption]]/Table3[[#This Row],['# of Students]]</f>
        <v>0</v>
      </c>
      <c r="G32">
        <v>4</v>
      </c>
      <c r="H32" s="1">
        <f>Table3[[#This Row],['# with Full 
Religous Exemption]]/Table3[[#This Row],['# of Students]]</f>
        <v>1.2861736334405145E-2</v>
      </c>
      <c r="I32">
        <v>0</v>
      </c>
      <c r="J32" s="1">
        <f>Table3[[#This Row],['# UTD with 
Partial Religious Exemption]]/Table3[[#This Row],['# of Students]]</f>
        <v>0</v>
      </c>
    </row>
    <row r="33" spans="1:10" x14ac:dyDescent="0.25">
      <c r="A33" t="s">
        <v>33</v>
      </c>
      <c r="B33">
        <v>59</v>
      </c>
      <c r="C33">
        <v>0</v>
      </c>
      <c r="D33" s="1">
        <f>Table3[[#This Row],['# with Full 
Medical Exemption]]/Table3[[#This Row],['# of Students]]</f>
        <v>0</v>
      </c>
      <c r="E33">
        <v>0</v>
      </c>
      <c r="F33" s="1">
        <f>Table3[[#This Row],['# UTD with 
Partial Medical Exemption]]/Table3[[#This Row],['# of Students]]</f>
        <v>0</v>
      </c>
      <c r="G33">
        <v>1</v>
      </c>
      <c r="H33" s="1">
        <f>Table3[[#This Row],['# with Full 
Religous Exemption]]/Table3[[#This Row],['# of Students]]</f>
        <v>1.6949152542372881E-2</v>
      </c>
      <c r="I33">
        <v>0</v>
      </c>
      <c r="J33" s="1">
        <f>Table3[[#This Row],['# UTD with 
Partial Religious Exemption]]/Table3[[#This Row],['# of Students]]</f>
        <v>0</v>
      </c>
    </row>
    <row r="34" spans="1:10" x14ac:dyDescent="0.25">
      <c r="A34" t="s">
        <v>34</v>
      </c>
      <c r="B34">
        <v>190</v>
      </c>
      <c r="C34">
        <v>0</v>
      </c>
      <c r="D34" s="1">
        <f>Table3[[#This Row],['# with Full 
Medical Exemption]]/Table3[[#This Row],['# of Students]]</f>
        <v>0</v>
      </c>
      <c r="E34">
        <v>0</v>
      </c>
      <c r="F34" s="1">
        <f>Table3[[#This Row],['# UTD with 
Partial Medical Exemption]]/Table3[[#This Row],['# of Students]]</f>
        <v>0</v>
      </c>
      <c r="G34">
        <v>0</v>
      </c>
      <c r="H34" s="1">
        <f>Table3[[#This Row],['# with Full 
Religous Exemption]]/Table3[[#This Row],['# of Students]]</f>
        <v>0</v>
      </c>
      <c r="I34">
        <v>0</v>
      </c>
      <c r="J34" s="1">
        <f>Table3[[#This Row],['# UTD with 
Partial Religious Exemption]]/Table3[[#This Row],['# of Students]]</f>
        <v>0</v>
      </c>
    </row>
    <row r="35" spans="1:10" x14ac:dyDescent="0.25">
      <c r="A35" t="s">
        <v>35</v>
      </c>
      <c r="B35">
        <v>184</v>
      </c>
      <c r="C35">
        <v>0</v>
      </c>
      <c r="D35" s="1">
        <f>Table3[[#This Row],['# with Full 
Medical Exemption]]/Table3[[#This Row],['# of Students]]</f>
        <v>0</v>
      </c>
      <c r="E35">
        <v>3</v>
      </c>
      <c r="F35" s="1">
        <f>Table3[[#This Row],['# UTD with 
Partial Medical Exemption]]/Table3[[#This Row],['# of Students]]</f>
        <v>1.6304347826086956E-2</v>
      </c>
      <c r="G35">
        <v>2</v>
      </c>
      <c r="H35" s="1">
        <f>Table3[[#This Row],['# with Full 
Religous Exemption]]/Table3[[#This Row],['# of Students]]</f>
        <v>1.0869565217391304E-2</v>
      </c>
      <c r="I35">
        <v>0</v>
      </c>
      <c r="J35" s="1">
        <f>Table3[[#This Row],['# UTD with 
Partial Religious Exemption]]/Table3[[#This Row],['# of Students]]</f>
        <v>0</v>
      </c>
    </row>
    <row r="36" spans="1:10" x14ac:dyDescent="0.25">
      <c r="A36" t="s">
        <v>36</v>
      </c>
      <c r="B36">
        <v>1440</v>
      </c>
      <c r="C36">
        <v>1</v>
      </c>
      <c r="D36" s="1">
        <f>Table3[[#This Row],['# with Full 
Medical Exemption]]/Table3[[#This Row],['# of Students]]</f>
        <v>6.9444444444444447E-4</v>
      </c>
      <c r="E36">
        <v>6</v>
      </c>
      <c r="F36" s="1">
        <f>Table3[[#This Row],['# UTD with 
Partial Medical Exemption]]/Table3[[#This Row],['# of Students]]</f>
        <v>4.1666666666666666E-3</v>
      </c>
      <c r="G36">
        <v>2</v>
      </c>
      <c r="H36" s="1">
        <f>Table3[[#This Row],['# with Full 
Religous Exemption]]/Table3[[#This Row],['# of Students]]</f>
        <v>1.3888888888888889E-3</v>
      </c>
      <c r="I36">
        <v>0</v>
      </c>
      <c r="J36" s="1">
        <f>Table3[[#This Row],['# UTD with 
Partial Religious Exemption]]/Table3[[#This Row],['# of Students]]</f>
        <v>0</v>
      </c>
    </row>
    <row r="37" spans="1:10" x14ac:dyDescent="0.25">
      <c r="A37" t="s">
        <v>37</v>
      </c>
      <c r="B37">
        <v>611</v>
      </c>
      <c r="C37">
        <v>0</v>
      </c>
      <c r="D37" s="1">
        <f>Table3[[#This Row],['# with Full 
Medical Exemption]]/Table3[[#This Row],['# of Students]]</f>
        <v>0</v>
      </c>
      <c r="E37">
        <v>0</v>
      </c>
      <c r="F37" s="1">
        <f>Table3[[#This Row],['# UTD with 
Partial Medical Exemption]]/Table3[[#This Row],['# of Students]]</f>
        <v>0</v>
      </c>
      <c r="G37">
        <v>8</v>
      </c>
      <c r="H37" s="1">
        <f>Table3[[#This Row],['# with Full 
Religous Exemption]]/Table3[[#This Row],['# of Students]]</f>
        <v>1.3093289689034371E-2</v>
      </c>
      <c r="I37">
        <v>0</v>
      </c>
      <c r="J37" s="1">
        <f>Table3[[#This Row],['# UTD with 
Partial Religious Exemption]]/Table3[[#This Row],['# of Students]]</f>
        <v>0</v>
      </c>
    </row>
    <row r="38" spans="1:10" x14ac:dyDescent="0.25">
      <c r="A38" t="s">
        <v>38</v>
      </c>
      <c r="B38">
        <v>7921</v>
      </c>
      <c r="C38">
        <v>4</v>
      </c>
      <c r="D38" s="1">
        <f>Table3[[#This Row],['# with Full 
Medical Exemption]]/Table3[[#This Row],['# of Students]]</f>
        <v>5.049867440979674E-4</v>
      </c>
      <c r="E38">
        <v>7</v>
      </c>
      <c r="F38" s="1">
        <f>Table3[[#This Row],['# UTD with 
Partial Medical Exemption]]/Table3[[#This Row],['# of Students]]</f>
        <v>8.8372680217144303E-4</v>
      </c>
      <c r="G38">
        <v>99</v>
      </c>
      <c r="H38" s="1">
        <f>Table3[[#This Row],['# with Full 
Religous Exemption]]/Table3[[#This Row],['# of Students]]</f>
        <v>1.2498421916424694E-2</v>
      </c>
      <c r="I38">
        <v>1</v>
      </c>
      <c r="J38" s="1">
        <f>Table3[[#This Row],['# UTD with 
Partial Religious Exemption]]/Table3[[#This Row],['# of Students]]</f>
        <v>1.2624668602449185E-4</v>
      </c>
    </row>
    <row r="39" spans="1:10" x14ac:dyDescent="0.25">
      <c r="A39" t="s">
        <v>39</v>
      </c>
      <c r="B39">
        <v>202</v>
      </c>
      <c r="C39">
        <v>0</v>
      </c>
      <c r="D39" s="1">
        <f>Table3[[#This Row],['# with Full 
Medical Exemption]]/Table3[[#This Row],['# of Students]]</f>
        <v>0</v>
      </c>
      <c r="E39">
        <v>0</v>
      </c>
      <c r="F39" s="1">
        <f>Table3[[#This Row],['# UTD with 
Partial Medical Exemption]]/Table3[[#This Row],['# of Students]]</f>
        <v>0</v>
      </c>
      <c r="G39">
        <v>3</v>
      </c>
      <c r="H39" s="1">
        <f>Table3[[#This Row],['# with Full 
Religous Exemption]]/Table3[[#This Row],['# of Students]]</f>
        <v>1.4851485148514851E-2</v>
      </c>
      <c r="I39">
        <v>0</v>
      </c>
      <c r="J39" s="1">
        <f>Table3[[#This Row],['# UTD with 
Partial Religious Exemption]]/Table3[[#This Row],['# of Students]]</f>
        <v>0</v>
      </c>
    </row>
    <row r="40" spans="1:10" x14ac:dyDescent="0.25">
      <c r="A40" t="s">
        <v>40</v>
      </c>
      <c r="B40">
        <v>1027</v>
      </c>
      <c r="C40">
        <v>0</v>
      </c>
      <c r="D40" s="1">
        <f>Table3[[#This Row],['# with Full 
Medical Exemption]]/Table3[[#This Row],['# of Students]]</f>
        <v>0</v>
      </c>
      <c r="E40">
        <v>1</v>
      </c>
      <c r="F40" s="1">
        <f>Table3[[#This Row],['# UTD with 
Partial Medical Exemption]]/Table3[[#This Row],['# of Students]]</f>
        <v>9.7370983446932818E-4</v>
      </c>
      <c r="G40">
        <v>18</v>
      </c>
      <c r="H40" s="1">
        <f>Table3[[#This Row],['# with Full 
Religous Exemption]]/Table3[[#This Row],['# of Students]]</f>
        <v>1.7526777020447908E-2</v>
      </c>
      <c r="I40">
        <v>0</v>
      </c>
      <c r="J40" s="1">
        <f>Table3[[#This Row],['# UTD with 
Partial Religious Exemption]]/Table3[[#This Row],['# of Students]]</f>
        <v>0</v>
      </c>
    </row>
    <row r="41" spans="1:10" x14ac:dyDescent="0.25">
      <c r="A41" t="s">
        <v>41</v>
      </c>
      <c r="B41">
        <v>281</v>
      </c>
      <c r="C41">
        <v>0</v>
      </c>
      <c r="D41" s="1">
        <f>Table3[[#This Row],['# with Full 
Medical Exemption]]/Table3[[#This Row],['# of Students]]</f>
        <v>0</v>
      </c>
      <c r="E41">
        <v>0</v>
      </c>
      <c r="F41" s="1">
        <f>Table3[[#This Row],['# UTD with 
Partial Medical Exemption]]/Table3[[#This Row],['# of Students]]</f>
        <v>0</v>
      </c>
      <c r="G41">
        <v>2</v>
      </c>
      <c r="H41" s="1">
        <f>Table3[[#This Row],['# with Full 
Religous Exemption]]/Table3[[#This Row],['# of Students]]</f>
        <v>7.1174377224199285E-3</v>
      </c>
      <c r="I41">
        <v>0</v>
      </c>
      <c r="J41" s="1">
        <f>Table3[[#This Row],['# UTD with 
Partial Religious Exemption]]/Table3[[#This Row],['# of Students]]</f>
        <v>0</v>
      </c>
    </row>
    <row r="42" spans="1:10" x14ac:dyDescent="0.25">
      <c r="A42" t="s">
        <v>42</v>
      </c>
      <c r="B42">
        <v>1844</v>
      </c>
      <c r="C42">
        <v>0</v>
      </c>
      <c r="D42" s="1">
        <f>Table3[[#This Row],['# with Full 
Medical Exemption]]/Table3[[#This Row],['# of Students]]</f>
        <v>0</v>
      </c>
      <c r="E42">
        <v>0</v>
      </c>
      <c r="F42" s="1">
        <f>Table3[[#This Row],['# UTD with 
Partial Medical Exemption]]/Table3[[#This Row],['# of Students]]</f>
        <v>0</v>
      </c>
      <c r="G42">
        <v>17</v>
      </c>
      <c r="H42" s="1">
        <f>Table3[[#This Row],['# with Full 
Religous Exemption]]/Table3[[#This Row],['# of Students]]</f>
        <v>9.2190889370932748E-3</v>
      </c>
      <c r="I42">
        <v>0</v>
      </c>
      <c r="J42" s="1">
        <f>Table3[[#This Row],['# UTD with 
Partial Religious Exemption]]/Table3[[#This Row],['# of Students]]</f>
        <v>0</v>
      </c>
    </row>
    <row r="43" spans="1:10" x14ac:dyDescent="0.25">
      <c r="A43" t="s">
        <v>43</v>
      </c>
      <c r="B43">
        <v>1422</v>
      </c>
      <c r="C43">
        <v>2</v>
      </c>
      <c r="D43" s="1">
        <f>Table3[[#This Row],['# with Full 
Medical Exemption]]/Table3[[#This Row],['# of Students]]</f>
        <v>1.4064697609001407E-3</v>
      </c>
      <c r="E43">
        <v>2</v>
      </c>
      <c r="F43" s="1">
        <f>Table3[[#This Row],['# UTD with 
Partial Medical Exemption]]/Table3[[#This Row],['# of Students]]</f>
        <v>1.4064697609001407E-3</v>
      </c>
      <c r="G43">
        <v>31</v>
      </c>
      <c r="H43" s="1">
        <f>Table3[[#This Row],['# with Full 
Religous Exemption]]/Table3[[#This Row],['# of Students]]</f>
        <v>2.180028129395218E-2</v>
      </c>
      <c r="I43">
        <v>0</v>
      </c>
      <c r="J43" s="1">
        <f>Table3[[#This Row],['# UTD with 
Partial Religious Exemption]]/Table3[[#This Row],['# of Students]]</f>
        <v>0</v>
      </c>
    </row>
    <row r="44" spans="1:10" x14ac:dyDescent="0.25">
      <c r="A44" t="s">
        <v>44</v>
      </c>
      <c r="B44">
        <v>96</v>
      </c>
      <c r="C44">
        <v>0</v>
      </c>
      <c r="D44" s="1">
        <f>Table3[[#This Row],['# with Full 
Medical Exemption]]/Table3[[#This Row],['# of Students]]</f>
        <v>0</v>
      </c>
      <c r="E44">
        <v>0</v>
      </c>
      <c r="F44" s="1">
        <f>Table3[[#This Row],['# UTD with 
Partial Medical Exemption]]/Table3[[#This Row],['# of Students]]</f>
        <v>0</v>
      </c>
      <c r="G44">
        <v>1</v>
      </c>
      <c r="H44" s="1">
        <f>Table3[[#This Row],['# with Full 
Religous Exemption]]/Table3[[#This Row],['# of Students]]</f>
        <v>1.0416666666666666E-2</v>
      </c>
      <c r="I44">
        <v>0</v>
      </c>
      <c r="J44" s="1">
        <f>Table3[[#This Row],['# UTD with 
Partial Religious Exemption]]/Table3[[#This Row],['# of Students]]</f>
        <v>0</v>
      </c>
    </row>
    <row r="45" spans="1:10" x14ac:dyDescent="0.25">
      <c r="A45" t="s">
        <v>45</v>
      </c>
      <c r="B45">
        <v>128</v>
      </c>
      <c r="C45">
        <v>0</v>
      </c>
      <c r="D45" s="1">
        <f>Table3[[#This Row],['# with Full 
Medical Exemption]]/Table3[[#This Row],['# of Students]]</f>
        <v>0</v>
      </c>
      <c r="E45">
        <v>0</v>
      </c>
      <c r="F45" s="1">
        <f>Table3[[#This Row],['# UTD with 
Partial Medical Exemption]]/Table3[[#This Row],['# of Students]]</f>
        <v>0</v>
      </c>
      <c r="G45">
        <v>2</v>
      </c>
      <c r="H45" s="1">
        <f>Table3[[#This Row],['# with Full 
Religous Exemption]]/Table3[[#This Row],['# of Students]]</f>
        <v>1.5625E-2</v>
      </c>
      <c r="I45">
        <v>0</v>
      </c>
      <c r="J45" s="1">
        <f>Table3[[#This Row],['# UTD with 
Partial Religious Exemption]]/Table3[[#This Row],['# of Students]]</f>
        <v>0</v>
      </c>
    </row>
    <row r="46" spans="1:10" x14ac:dyDescent="0.25">
      <c r="A46" t="s">
        <v>46</v>
      </c>
      <c r="B46">
        <v>4214</v>
      </c>
      <c r="C46">
        <v>0</v>
      </c>
      <c r="D46" s="1">
        <f>Table3[[#This Row],['# with Full 
Medical Exemption]]/Table3[[#This Row],['# of Students]]</f>
        <v>0</v>
      </c>
      <c r="E46">
        <v>2</v>
      </c>
      <c r="F46" s="1">
        <f>Table3[[#This Row],['# UTD with 
Partial Medical Exemption]]/Table3[[#This Row],['# of Students]]</f>
        <v>4.7460844803037496E-4</v>
      </c>
      <c r="G46">
        <v>72</v>
      </c>
      <c r="H46" s="1">
        <f>Table3[[#This Row],['# with Full 
Religous Exemption]]/Table3[[#This Row],['# of Students]]</f>
        <v>1.7085904129093499E-2</v>
      </c>
      <c r="I46">
        <v>0</v>
      </c>
      <c r="J46" s="1">
        <f>Table3[[#This Row],['# UTD with 
Partial Religious Exemption]]/Table3[[#This Row],['# of Students]]</f>
        <v>0</v>
      </c>
    </row>
    <row r="47" spans="1:10" x14ac:dyDescent="0.25">
      <c r="A47" t="s">
        <v>47</v>
      </c>
      <c r="B47">
        <v>264</v>
      </c>
      <c r="C47">
        <v>0</v>
      </c>
      <c r="D47" s="1">
        <f>Table3[[#This Row],['# with Full 
Medical Exemption]]/Table3[[#This Row],['# of Students]]</f>
        <v>0</v>
      </c>
      <c r="E47">
        <v>0</v>
      </c>
      <c r="F47" s="1">
        <f>Table3[[#This Row],['# UTD with 
Partial Medical Exemption]]/Table3[[#This Row],['# of Students]]</f>
        <v>0</v>
      </c>
      <c r="G47">
        <v>0</v>
      </c>
      <c r="H47" s="1">
        <f>Table3[[#This Row],['# with Full 
Religous Exemption]]/Table3[[#This Row],['# of Students]]</f>
        <v>0</v>
      </c>
      <c r="I47">
        <v>0</v>
      </c>
      <c r="J47" s="1">
        <f>Table3[[#This Row],['# UTD with 
Partial Religious Exemption]]/Table3[[#This Row],['# of Students]]</f>
        <v>0</v>
      </c>
    </row>
    <row r="48" spans="1:10" x14ac:dyDescent="0.25">
      <c r="A48" t="s">
        <v>48</v>
      </c>
      <c r="B48">
        <v>388</v>
      </c>
      <c r="C48">
        <v>1</v>
      </c>
      <c r="D48" s="1">
        <f>Table3[[#This Row],['# with Full 
Medical Exemption]]/Table3[[#This Row],['# of Students]]</f>
        <v>2.5773195876288659E-3</v>
      </c>
      <c r="E48">
        <v>0</v>
      </c>
      <c r="F48" s="1">
        <f>Table3[[#This Row],['# UTD with 
Partial Medical Exemption]]/Table3[[#This Row],['# of Students]]</f>
        <v>0</v>
      </c>
      <c r="G48">
        <v>4</v>
      </c>
      <c r="H48" s="1">
        <f>Table3[[#This Row],['# with Full 
Religous Exemption]]/Table3[[#This Row],['# of Students]]</f>
        <v>1.0309278350515464E-2</v>
      </c>
      <c r="I48">
        <v>0</v>
      </c>
      <c r="J48" s="1">
        <f>Table3[[#This Row],['# UTD with 
Partial Religious Exemption]]/Table3[[#This Row],['# of Students]]</f>
        <v>0</v>
      </c>
    </row>
    <row r="49" spans="1:10" x14ac:dyDescent="0.25">
      <c r="A49" t="s">
        <v>49</v>
      </c>
      <c r="B49">
        <v>1438</v>
      </c>
      <c r="C49">
        <v>0</v>
      </c>
      <c r="D49" s="1">
        <f>Table3[[#This Row],['# with Full 
Medical Exemption]]/Table3[[#This Row],['# of Students]]</f>
        <v>0</v>
      </c>
      <c r="E49">
        <v>1</v>
      </c>
      <c r="F49" s="1">
        <f>Table3[[#This Row],['# UTD with 
Partial Medical Exemption]]/Table3[[#This Row],['# of Students]]</f>
        <v>6.9541029207232264E-4</v>
      </c>
      <c r="G49">
        <v>15</v>
      </c>
      <c r="H49" s="1">
        <f>Table3[[#This Row],['# with Full 
Religous Exemption]]/Table3[[#This Row],['# of Students]]</f>
        <v>1.0431154381084841E-2</v>
      </c>
      <c r="I49">
        <v>0</v>
      </c>
      <c r="J49" s="1">
        <f>Table3[[#This Row],['# UTD with 
Partial Religious Exemption]]/Table3[[#This Row],['# of Students]]</f>
        <v>0</v>
      </c>
    </row>
    <row r="50" spans="1:10" x14ac:dyDescent="0.25">
      <c r="A50" t="s">
        <v>50</v>
      </c>
      <c r="B50">
        <v>5010</v>
      </c>
      <c r="C50">
        <v>1</v>
      </c>
      <c r="D50" s="1">
        <f>Table3[[#This Row],['# with Full 
Medical Exemption]]/Table3[[#This Row],['# of Students]]</f>
        <v>1.996007984031936E-4</v>
      </c>
      <c r="E50">
        <v>4</v>
      </c>
      <c r="F50" s="1">
        <f>Table3[[#This Row],['# UTD with 
Partial Medical Exemption]]/Table3[[#This Row],['# of Students]]</f>
        <v>7.9840319361277441E-4</v>
      </c>
      <c r="G50">
        <v>109</v>
      </c>
      <c r="H50" s="1">
        <f>Table3[[#This Row],['# with Full 
Religous Exemption]]/Table3[[#This Row],['# of Students]]</f>
        <v>2.1756487025948103E-2</v>
      </c>
      <c r="I50">
        <v>0</v>
      </c>
      <c r="J50" s="1">
        <f>Table3[[#This Row],['# UTD with 
Partial Religious Exemption]]/Table3[[#This Row],['# of Students]]</f>
        <v>0</v>
      </c>
    </row>
    <row r="51" spans="1:10" x14ac:dyDescent="0.25">
      <c r="A51" t="s">
        <v>51</v>
      </c>
      <c r="B51">
        <v>284</v>
      </c>
      <c r="C51">
        <v>0</v>
      </c>
      <c r="D51" s="1">
        <f>Table3[[#This Row],['# with Full 
Medical Exemption]]/Table3[[#This Row],['# of Students]]</f>
        <v>0</v>
      </c>
      <c r="E51">
        <v>0</v>
      </c>
      <c r="F51" s="1">
        <f>Table3[[#This Row],['# UTD with 
Partial Medical Exemption]]/Table3[[#This Row],['# of Students]]</f>
        <v>0</v>
      </c>
      <c r="G51">
        <v>0</v>
      </c>
      <c r="H51" s="1">
        <f>Table3[[#This Row],['# with Full 
Religous Exemption]]/Table3[[#This Row],['# of Students]]</f>
        <v>0</v>
      </c>
      <c r="I51">
        <v>0</v>
      </c>
      <c r="J51" s="1">
        <f>Table3[[#This Row],['# UTD with 
Partial Religious Exemption]]/Table3[[#This Row],['# of Students]]</f>
        <v>0</v>
      </c>
    </row>
    <row r="52" spans="1:10" x14ac:dyDescent="0.25">
      <c r="A52" t="s">
        <v>52</v>
      </c>
      <c r="B52">
        <v>2798</v>
      </c>
      <c r="C52">
        <v>0</v>
      </c>
      <c r="D52" s="1">
        <f>Table3[[#This Row],['# with Full 
Medical Exemption]]/Table3[[#This Row],['# of Students]]</f>
        <v>0</v>
      </c>
      <c r="E52">
        <v>2</v>
      </c>
      <c r="F52" s="1">
        <f>Table3[[#This Row],['# UTD with 
Partial Medical Exemption]]/Table3[[#This Row],['# of Students]]</f>
        <v>7.1479628305932811E-4</v>
      </c>
      <c r="G52">
        <v>30</v>
      </c>
      <c r="H52" s="1">
        <f>Table3[[#This Row],['# with Full 
Religous Exemption]]/Table3[[#This Row],['# of Students]]</f>
        <v>1.0721944245889922E-2</v>
      </c>
      <c r="I52">
        <v>0</v>
      </c>
      <c r="J52" s="1">
        <f>Table3[[#This Row],['# UTD with 
Partial Religious Exemption]]/Table3[[#This Row],['# of Students]]</f>
        <v>0</v>
      </c>
    </row>
    <row r="53" spans="1:10" x14ac:dyDescent="0.25">
      <c r="A53" t="s">
        <v>53</v>
      </c>
      <c r="B53">
        <v>1751</v>
      </c>
      <c r="C53">
        <v>0</v>
      </c>
      <c r="D53" s="1">
        <f>Table3[[#This Row],['# with Full 
Medical Exemption]]/Table3[[#This Row],['# of Students]]</f>
        <v>0</v>
      </c>
      <c r="E53">
        <v>2</v>
      </c>
      <c r="F53" s="1">
        <f>Table3[[#This Row],['# UTD with 
Partial Medical Exemption]]/Table3[[#This Row],['# of Students]]</f>
        <v>1.1422044545973729E-3</v>
      </c>
      <c r="G53">
        <v>29</v>
      </c>
      <c r="H53" s="1">
        <f>Table3[[#This Row],['# with Full 
Religous Exemption]]/Table3[[#This Row],['# of Students]]</f>
        <v>1.6561964591661909E-2</v>
      </c>
      <c r="I53">
        <v>0</v>
      </c>
      <c r="J53" s="1">
        <f>Table3[[#This Row],['# UTD with 
Partial Religious Exemption]]/Table3[[#This Row],['# of Students]]</f>
        <v>0</v>
      </c>
    </row>
    <row r="54" spans="1:10" x14ac:dyDescent="0.25">
      <c r="A54" t="s">
        <v>54</v>
      </c>
      <c r="B54">
        <v>87</v>
      </c>
      <c r="C54">
        <v>0</v>
      </c>
      <c r="D54" s="1">
        <f>Table3[[#This Row],['# with Full 
Medical Exemption]]/Table3[[#This Row],['# of Students]]</f>
        <v>0</v>
      </c>
      <c r="E54">
        <v>0</v>
      </c>
      <c r="F54" s="1">
        <f>Table3[[#This Row],['# UTD with 
Partial Medical Exemption]]/Table3[[#This Row],['# of Students]]</f>
        <v>0</v>
      </c>
      <c r="G54">
        <v>0</v>
      </c>
      <c r="H54" s="1">
        <f>Table3[[#This Row],['# with Full 
Religous Exemption]]/Table3[[#This Row],['# of Students]]</f>
        <v>0</v>
      </c>
      <c r="I54">
        <v>0</v>
      </c>
      <c r="J54" s="1">
        <f>Table3[[#This Row],['# UTD with 
Partial Religious Exemption]]/Table3[[#This Row],['# of Students]]</f>
        <v>0</v>
      </c>
    </row>
    <row r="55" spans="1:10" x14ac:dyDescent="0.25">
      <c r="A55" t="s">
        <v>55</v>
      </c>
      <c r="B55">
        <v>181</v>
      </c>
      <c r="C55">
        <v>0</v>
      </c>
      <c r="D55" s="1">
        <f>Table3[[#This Row],['# with Full 
Medical Exemption]]/Table3[[#This Row],['# of Students]]</f>
        <v>0</v>
      </c>
      <c r="E55">
        <v>0</v>
      </c>
      <c r="F55" s="1">
        <f>Table3[[#This Row],['# UTD with 
Partial Medical Exemption]]/Table3[[#This Row],['# of Students]]</f>
        <v>0</v>
      </c>
      <c r="G55">
        <v>2</v>
      </c>
      <c r="H55" s="1">
        <f>Table3[[#This Row],['# with Full 
Religous Exemption]]/Table3[[#This Row],['# of Students]]</f>
        <v>1.1049723756906077E-2</v>
      </c>
      <c r="I55">
        <v>0</v>
      </c>
      <c r="J55" s="1">
        <f>Table3[[#This Row],['# UTD with 
Partial Religious Exemption]]/Table3[[#This Row],['# of Students]]</f>
        <v>0</v>
      </c>
    </row>
    <row r="56" spans="1:10" x14ac:dyDescent="0.25">
      <c r="A56" t="s">
        <v>56</v>
      </c>
      <c r="B56">
        <v>356</v>
      </c>
      <c r="C56">
        <v>0</v>
      </c>
      <c r="D56" s="1">
        <f>Table3[[#This Row],['# with Full 
Medical Exemption]]/Table3[[#This Row],['# of Students]]</f>
        <v>0</v>
      </c>
      <c r="E56">
        <v>0</v>
      </c>
      <c r="F56" s="1">
        <f>Table3[[#This Row],['# UTD with 
Partial Medical Exemption]]/Table3[[#This Row],['# of Students]]</f>
        <v>0</v>
      </c>
      <c r="G56">
        <v>2</v>
      </c>
      <c r="H56" s="1">
        <f>Table3[[#This Row],['# with Full 
Religous Exemption]]/Table3[[#This Row],['# of Students]]</f>
        <v>5.6179775280898875E-3</v>
      </c>
      <c r="I56">
        <v>0</v>
      </c>
      <c r="J56" s="1">
        <f>Table3[[#This Row],['# UTD with 
Partial Religious Exemption]]/Table3[[#This Row],['# of Students]]</f>
        <v>0</v>
      </c>
    </row>
    <row r="57" spans="1:10" x14ac:dyDescent="0.25">
      <c r="A57" t="s">
        <v>57</v>
      </c>
      <c r="B57">
        <v>282</v>
      </c>
      <c r="C57">
        <v>0</v>
      </c>
      <c r="D57" s="1">
        <f>Table3[[#This Row],['# with Full 
Medical Exemption]]/Table3[[#This Row],['# of Students]]</f>
        <v>0</v>
      </c>
      <c r="E57">
        <v>0</v>
      </c>
      <c r="F57" s="1">
        <f>Table3[[#This Row],['# UTD with 
Partial Medical Exemption]]/Table3[[#This Row],['# of Students]]</f>
        <v>0</v>
      </c>
      <c r="G57">
        <v>3</v>
      </c>
      <c r="H57" s="1">
        <f>Table3[[#This Row],['# with Full 
Religous Exemption]]/Table3[[#This Row],['# of Students]]</f>
        <v>1.0638297872340425E-2</v>
      </c>
      <c r="I57">
        <v>0</v>
      </c>
      <c r="J57" s="1">
        <f>Table3[[#This Row],['# UTD with 
Partial Religious Exemption]]/Table3[[#This Row],['# of Students]]</f>
        <v>0</v>
      </c>
    </row>
    <row r="58" spans="1:10" x14ac:dyDescent="0.25">
      <c r="A58" t="s">
        <v>58</v>
      </c>
      <c r="B58">
        <v>847</v>
      </c>
      <c r="C58">
        <v>0</v>
      </c>
      <c r="D58" s="1">
        <f>Table3[[#This Row],['# with Full 
Medical Exemption]]/Table3[[#This Row],['# of Students]]</f>
        <v>0</v>
      </c>
      <c r="E58">
        <v>0</v>
      </c>
      <c r="F58" s="1">
        <f>Table3[[#This Row],['# UTD with 
Partial Medical Exemption]]/Table3[[#This Row],['# of Students]]</f>
        <v>0</v>
      </c>
      <c r="G58">
        <v>4</v>
      </c>
      <c r="H58" s="1">
        <f>Table3[[#This Row],['# with Full 
Religous Exemption]]/Table3[[#This Row],['# of Students]]</f>
        <v>4.7225501770956314E-3</v>
      </c>
      <c r="I58">
        <v>0</v>
      </c>
      <c r="J58" s="1">
        <f>Table3[[#This Row],['# UTD with 
Partial Religious Exemption]]/Table3[[#This Row],['# of Students]]</f>
        <v>0</v>
      </c>
    </row>
    <row r="59" spans="1:10" x14ac:dyDescent="0.25">
      <c r="A59" t="s">
        <v>59</v>
      </c>
      <c r="B59">
        <v>2487</v>
      </c>
      <c r="C59">
        <v>3</v>
      </c>
      <c r="D59" s="1">
        <f>Table3[[#This Row],['# with Full 
Medical Exemption]]/Table3[[#This Row],['# of Students]]</f>
        <v>1.2062726176115801E-3</v>
      </c>
      <c r="E59">
        <v>8</v>
      </c>
      <c r="F59" s="1">
        <f>Table3[[#This Row],['# UTD with 
Partial Medical Exemption]]/Table3[[#This Row],['# of Students]]</f>
        <v>3.2167269802975472E-3</v>
      </c>
      <c r="G59">
        <v>41</v>
      </c>
      <c r="H59" s="1">
        <f>Table3[[#This Row],['# with Full 
Religous Exemption]]/Table3[[#This Row],['# of Students]]</f>
        <v>1.6485725774024931E-2</v>
      </c>
      <c r="I59">
        <v>0</v>
      </c>
      <c r="J59" s="1">
        <f>Table3[[#This Row],['# UTD with 
Partial Religious Exemption]]/Table3[[#This Row],['# of Students]]</f>
        <v>0</v>
      </c>
    </row>
    <row r="60" spans="1:10" x14ac:dyDescent="0.25">
      <c r="A60" t="s">
        <v>60</v>
      </c>
      <c r="B60">
        <v>1079</v>
      </c>
      <c r="C60">
        <v>0</v>
      </c>
      <c r="D60" s="1">
        <f>Table3[[#This Row],['# with Full 
Medical Exemption]]/Table3[[#This Row],['# of Students]]</f>
        <v>0</v>
      </c>
      <c r="E60">
        <v>2</v>
      </c>
      <c r="F60" s="1">
        <f>Table3[[#This Row],['# UTD with 
Partial Medical Exemption]]/Table3[[#This Row],['# of Students]]</f>
        <v>1.8535681186283596E-3</v>
      </c>
      <c r="G60">
        <v>19</v>
      </c>
      <c r="H60" s="1">
        <f>Table3[[#This Row],['# with Full 
Religous Exemption]]/Table3[[#This Row],['# of Students]]</f>
        <v>1.7608897126969416E-2</v>
      </c>
      <c r="I60">
        <v>0</v>
      </c>
      <c r="J60" s="1">
        <f>Table3[[#This Row],['# UTD with 
Partial Religious Exemption]]/Table3[[#This Row],['# of Students]]</f>
        <v>0</v>
      </c>
    </row>
    <row r="61" spans="1:10" x14ac:dyDescent="0.25">
      <c r="A61" t="s">
        <v>61</v>
      </c>
      <c r="B61">
        <v>107</v>
      </c>
      <c r="C61">
        <v>0</v>
      </c>
      <c r="D61" s="1">
        <f>Table3[[#This Row],['# with Full 
Medical Exemption]]/Table3[[#This Row],['# of Students]]</f>
        <v>0</v>
      </c>
      <c r="E61">
        <v>0</v>
      </c>
      <c r="F61" s="1">
        <f>Table3[[#This Row],['# UTD with 
Partial Medical Exemption]]/Table3[[#This Row],['# of Students]]</f>
        <v>0</v>
      </c>
      <c r="G61">
        <v>0</v>
      </c>
      <c r="H61" s="1">
        <f>Table3[[#This Row],['# with Full 
Religous Exemption]]/Table3[[#This Row],['# of Students]]</f>
        <v>0</v>
      </c>
      <c r="I61">
        <v>0</v>
      </c>
      <c r="J61" s="1">
        <f>Table3[[#This Row],['# UTD with 
Partial Religious Exemption]]/Table3[[#This Row],['# of Students]]</f>
        <v>0</v>
      </c>
    </row>
    <row r="62" spans="1:10" x14ac:dyDescent="0.25">
      <c r="A62" t="s">
        <v>62</v>
      </c>
      <c r="B62">
        <v>854</v>
      </c>
      <c r="C62">
        <v>1</v>
      </c>
      <c r="D62" s="1">
        <f>Table3[[#This Row],['# with Full 
Medical Exemption]]/Table3[[#This Row],['# of Students]]</f>
        <v>1.17096018735363E-3</v>
      </c>
      <c r="E62">
        <v>0</v>
      </c>
      <c r="F62" s="1">
        <f>Table3[[#This Row],['# UTD with 
Partial Medical Exemption]]/Table3[[#This Row],['# of Students]]</f>
        <v>0</v>
      </c>
      <c r="G62">
        <v>10</v>
      </c>
      <c r="H62" s="1">
        <f>Table3[[#This Row],['# with Full 
Religous Exemption]]/Table3[[#This Row],['# of Students]]</f>
        <v>1.1709601873536301E-2</v>
      </c>
      <c r="I62">
        <v>0</v>
      </c>
      <c r="J62" s="1">
        <f>Table3[[#This Row],['# UTD with 
Partial Religious Exemption]]/Table3[[#This Row],['# of Students]]</f>
        <v>0</v>
      </c>
    </row>
    <row r="63" spans="1:10" x14ac:dyDescent="0.25">
      <c r="A63" t="s">
        <v>63</v>
      </c>
      <c r="B63">
        <v>505</v>
      </c>
      <c r="C63">
        <v>0</v>
      </c>
      <c r="D63" s="1">
        <f>Table3[[#This Row],['# with Full 
Medical Exemption]]/Table3[[#This Row],['# of Students]]</f>
        <v>0</v>
      </c>
      <c r="E63">
        <v>0</v>
      </c>
      <c r="F63" s="1">
        <f>Table3[[#This Row],['# UTD with 
Partial Medical Exemption]]/Table3[[#This Row],['# of Students]]</f>
        <v>0</v>
      </c>
      <c r="G63">
        <v>5</v>
      </c>
      <c r="H63" s="1">
        <f>Table3[[#This Row],['# with Full 
Religous Exemption]]/Table3[[#This Row],['# of Students]]</f>
        <v>9.9009900990099011E-3</v>
      </c>
      <c r="I63">
        <v>0</v>
      </c>
      <c r="J63" s="1">
        <f>Table3[[#This Row],['# UTD with 
Partial Religious Exemption]]/Table3[[#This Row],['# of Students]]</f>
        <v>0</v>
      </c>
    </row>
    <row r="64" spans="1:10" x14ac:dyDescent="0.25">
      <c r="A64" t="s">
        <v>64</v>
      </c>
      <c r="B64">
        <v>2671</v>
      </c>
      <c r="C64">
        <v>1</v>
      </c>
      <c r="D64" s="1">
        <f>Table3[[#This Row],['# with Full 
Medical Exemption]]/Table3[[#This Row],['# of Students]]</f>
        <v>3.7439161362785476E-4</v>
      </c>
      <c r="E64">
        <v>4</v>
      </c>
      <c r="F64" s="1">
        <f>Table3[[#This Row],['# UTD with 
Partial Medical Exemption]]/Table3[[#This Row],['# of Students]]</f>
        <v>1.497566454511419E-3</v>
      </c>
      <c r="G64">
        <v>33</v>
      </c>
      <c r="H64" s="1">
        <f>Table3[[#This Row],['# with Full 
Religous Exemption]]/Table3[[#This Row],['# of Students]]</f>
        <v>1.2354923249719206E-2</v>
      </c>
      <c r="I64">
        <v>0</v>
      </c>
      <c r="J64" s="1">
        <f>Table3[[#This Row],['# UTD with 
Partial Religious Exemption]]/Table3[[#This Row],['# of Students]]</f>
        <v>0</v>
      </c>
    </row>
    <row r="65" spans="1:10" x14ac:dyDescent="0.25">
      <c r="A65" t="s">
        <v>65</v>
      </c>
      <c r="B65">
        <v>827</v>
      </c>
      <c r="C65">
        <v>0</v>
      </c>
      <c r="D65" s="1">
        <f>Table3[[#This Row],['# with Full 
Medical Exemption]]/Table3[[#This Row],['# of Students]]</f>
        <v>0</v>
      </c>
      <c r="E65">
        <v>0</v>
      </c>
      <c r="F65" s="1">
        <f>Table3[[#This Row],['# UTD with 
Partial Medical Exemption]]/Table3[[#This Row],['# of Students]]</f>
        <v>0</v>
      </c>
      <c r="G65">
        <v>5</v>
      </c>
      <c r="H65" s="1">
        <f>Table3[[#This Row],['# with Full 
Religous Exemption]]/Table3[[#This Row],['# of Students]]</f>
        <v>6.0459492140266021E-3</v>
      </c>
      <c r="I65">
        <v>0</v>
      </c>
      <c r="J65" s="1">
        <f>Table3[[#This Row],['# UTD with 
Partial Religious Exemption]]/Table3[[#This Row],['# of Students]]</f>
        <v>0</v>
      </c>
    </row>
    <row r="66" spans="1:10" x14ac:dyDescent="0.25">
      <c r="A66" t="s">
        <v>66</v>
      </c>
      <c r="B66">
        <v>179</v>
      </c>
      <c r="C66">
        <v>0</v>
      </c>
      <c r="D66" s="1">
        <f>Table3[[#This Row],['# with Full 
Medical Exemption]]/Table3[[#This Row],['# of Students]]</f>
        <v>0</v>
      </c>
      <c r="E66">
        <v>0</v>
      </c>
      <c r="F66" s="1">
        <f>Table3[[#This Row],['# UTD with 
Partial Medical Exemption]]/Table3[[#This Row],['# of Students]]</f>
        <v>0</v>
      </c>
      <c r="G66">
        <v>1</v>
      </c>
      <c r="H66" s="1">
        <f>Table3[[#This Row],['# with Full 
Religous Exemption]]/Table3[[#This Row],['# of Students]]</f>
        <v>5.5865921787709499E-3</v>
      </c>
      <c r="I66">
        <v>0</v>
      </c>
      <c r="J66" s="1">
        <f>Table3[[#This Row],['# UTD with 
Partial Religious Exemption]]/Table3[[#This Row],['# of Students]]</f>
        <v>0</v>
      </c>
    </row>
    <row r="67" spans="1:10" x14ac:dyDescent="0.25">
      <c r="A67" t="s">
        <v>67</v>
      </c>
      <c r="B67">
        <v>63</v>
      </c>
      <c r="C67">
        <v>0</v>
      </c>
      <c r="D67" s="1">
        <f>Table3[[#This Row],['# with Full 
Medical Exemption]]/Table3[[#This Row],['# of Students]]</f>
        <v>0</v>
      </c>
      <c r="E67">
        <v>0</v>
      </c>
      <c r="F67" s="1">
        <f>Table3[[#This Row],['# UTD with 
Partial Medical Exemption]]/Table3[[#This Row],['# of Students]]</f>
        <v>0</v>
      </c>
      <c r="G67">
        <v>0</v>
      </c>
      <c r="H67" s="1">
        <f>Table3[[#This Row],['# with Full 
Religous Exemption]]/Table3[[#This Row],['# of Students]]</f>
        <v>0</v>
      </c>
      <c r="I67">
        <v>0</v>
      </c>
      <c r="J67" s="1">
        <f>Table3[[#This Row],['# UTD with 
Partial Religious Exemption]]/Table3[[#This Row],['# of Students]]</f>
        <v>0</v>
      </c>
    </row>
    <row r="68" spans="1:10" x14ac:dyDescent="0.25">
      <c r="A68" t="s">
        <v>68</v>
      </c>
      <c r="B68">
        <v>367</v>
      </c>
      <c r="C68">
        <v>0</v>
      </c>
      <c r="D68" s="1">
        <f>Table3[[#This Row],['# with Full 
Medical Exemption]]/Table3[[#This Row],['# of Students]]</f>
        <v>0</v>
      </c>
      <c r="E68">
        <v>0</v>
      </c>
      <c r="F68" s="1">
        <f>Table3[[#This Row],['# UTD with 
Partial Medical Exemption]]/Table3[[#This Row],['# of Students]]</f>
        <v>0</v>
      </c>
      <c r="G68">
        <v>13</v>
      </c>
      <c r="H68" s="1">
        <f>Table3[[#This Row],['# with Full 
Religous Exemption]]/Table3[[#This Row],['# of Students]]</f>
        <v>3.5422343324250684E-2</v>
      </c>
      <c r="I68">
        <v>0</v>
      </c>
      <c r="J68" s="1">
        <f>Table3[[#This Row],['# UTD with 
Partial Religious Exemption]]/Table3[[#This Row],['# of Students]]</f>
        <v>0</v>
      </c>
    </row>
    <row r="69" spans="1:10" x14ac:dyDescent="0.25">
      <c r="B69">
        <f t="shared" ref="B69:I69" si="0">SUBTOTAL(109,B2:B68)</f>
        <v>60332</v>
      </c>
      <c r="C69">
        <f t="shared" si="0"/>
        <v>30</v>
      </c>
      <c r="D69" s="1">
        <f>Table3[[#Totals],['# with Full 
Medical Exemption]]/Table3[[#Totals],['# of Students]]</f>
        <v>4.972485579791819E-4</v>
      </c>
      <c r="E69">
        <f t="shared" si="0"/>
        <v>63</v>
      </c>
      <c r="F69" s="1">
        <f>Table3[[#Totals],['# UTD with 
Partial Medical Exemption]]/Table3[[#Totals],['# of Students]]</f>
        <v>1.0442219717562819E-3</v>
      </c>
      <c r="G69">
        <f t="shared" si="0"/>
        <v>910</v>
      </c>
      <c r="H69" s="1">
        <f>Table3[[#Totals],['# with Full 
Religous Exemption]]/Table3[[#Totals],['# of Students]]</f>
        <v>1.508320625870185E-2</v>
      </c>
      <c r="I69">
        <f t="shared" si="0"/>
        <v>2</v>
      </c>
      <c r="J69" s="1">
        <f>Table3[[#Totals],['# UTD with 
Partial Religious Exemption]]/Table3[[#Totals],['# of Students]]</f>
        <v>3.314990386527879E-5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CF02-8D99-44B9-BB17-2541E3A8F413}">
  <dimension ref="A1:J69"/>
  <sheetViews>
    <sheetView workbookViewId="0">
      <selection activeCell="K1" sqref="K1:K1048576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1" bestFit="1" customWidth="1"/>
    <col min="5" max="5" width="27" bestFit="1" customWidth="1"/>
    <col min="6" max="6" width="25.85546875" style="1" bestFit="1" customWidth="1"/>
    <col min="7" max="8" width="21.140625" bestFit="1" customWidth="1"/>
    <col min="9" max="9" width="28.140625" bestFit="1" customWidth="1"/>
    <col min="10" max="10" width="28.140625" style="1" bestFit="1" customWidth="1"/>
  </cols>
  <sheetData>
    <row r="1" spans="1:10" ht="30" x14ac:dyDescent="0.25">
      <c r="A1" t="s">
        <v>0</v>
      </c>
      <c r="B1" t="s">
        <v>1</v>
      </c>
      <c r="C1" s="3" t="s">
        <v>70</v>
      </c>
      <c r="D1" s="4" t="s">
        <v>71</v>
      </c>
      <c r="E1" s="3" t="s">
        <v>72</v>
      </c>
      <c r="F1" s="4" t="s">
        <v>75</v>
      </c>
      <c r="G1" s="3" t="s">
        <v>76</v>
      </c>
      <c r="H1" s="4" t="s">
        <v>77</v>
      </c>
      <c r="I1" s="3" t="s">
        <v>73</v>
      </c>
      <c r="J1" s="4" t="s">
        <v>74</v>
      </c>
    </row>
    <row r="2" spans="1:10" x14ac:dyDescent="0.25">
      <c r="A2" t="s">
        <v>2</v>
      </c>
      <c r="B2">
        <v>482</v>
      </c>
      <c r="C2">
        <v>1</v>
      </c>
      <c r="D2" s="1">
        <f>Table4[[#This Row],['# with Full 
Medical Exemption]]/Table4[[#This Row],['# of Students]]</f>
        <v>2.0746887966804979E-3</v>
      </c>
      <c r="E2">
        <v>0</v>
      </c>
      <c r="F2" s="1">
        <f>Table4[[#This Row],['# UTD with 
Partial Medical Exemption]]/Table4[[#This Row],['# of Students]]</f>
        <v>0</v>
      </c>
      <c r="G2">
        <v>11</v>
      </c>
      <c r="H2" s="1">
        <f>Table4[[#This Row],['# with Full 
Religous Exemption]]/Table4[[#This Row],['# of Students]]</f>
        <v>2.2821576763485476E-2</v>
      </c>
      <c r="I2">
        <v>0</v>
      </c>
      <c r="J2" s="1">
        <f>Table4[[#This Row],['# UTD with 
Partial Religious Exemption]]/Table4[[#This Row],['# of Students]]</f>
        <v>0</v>
      </c>
    </row>
    <row r="3" spans="1:10" x14ac:dyDescent="0.25">
      <c r="A3" t="s">
        <v>3</v>
      </c>
      <c r="B3">
        <v>2618</v>
      </c>
      <c r="C3">
        <v>0</v>
      </c>
      <c r="D3" s="1">
        <f>Table4[[#This Row],['# with Full 
Medical Exemption]]/Table4[[#This Row],['# of Students]]</f>
        <v>0</v>
      </c>
      <c r="E3">
        <v>3</v>
      </c>
      <c r="F3" s="1">
        <f>Table4[[#This Row],['# UTD with 
Partial Medical Exemption]]/Table4[[#This Row],['# of Students]]</f>
        <v>1.1459129106187931E-3</v>
      </c>
      <c r="G3">
        <v>112</v>
      </c>
      <c r="H3" s="1">
        <f>Table4[[#This Row],['# with Full 
Religous Exemption]]/Table4[[#This Row],['# of Students]]</f>
        <v>4.2780748663101602E-2</v>
      </c>
      <c r="I3">
        <v>0</v>
      </c>
      <c r="J3" s="1">
        <f>Table4[[#This Row],['# UTD with 
Partial Religious Exemption]]/Table4[[#This Row],['# of Students]]</f>
        <v>0</v>
      </c>
    </row>
    <row r="4" spans="1:10" x14ac:dyDescent="0.25">
      <c r="A4" t="s">
        <v>4</v>
      </c>
      <c r="B4">
        <v>317</v>
      </c>
      <c r="C4">
        <v>0</v>
      </c>
      <c r="D4" s="1">
        <f>Table4[[#This Row],['# with Full 
Medical Exemption]]/Table4[[#This Row],['# of Students]]</f>
        <v>0</v>
      </c>
      <c r="E4">
        <v>0</v>
      </c>
      <c r="F4" s="1">
        <f>Table4[[#This Row],['# UTD with 
Partial Medical Exemption]]/Table4[[#This Row],['# of Students]]</f>
        <v>0</v>
      </c>
      <c r="G4">
        <v>7</v>
      </c>
      <c r="H4" s="1">
        <f>Table4[[#This Row],['# with Full 
Religous Exemption]]/Table4[[#This Row],['# of Students]]</f>
        <v>2.2082018927444796E-2</v>
      </c>
      <c r="I4">
        <v>0</v>
      </c>
      <c r="J4" s="1">
        <f>Table4[[#This Row],['# UTD with 
Partial Religious Exemption]]/Table4[[#This Row],['# of Students]]</f>
        <v>0</v>
      </c>
    </row>
    <row r="5" spans="1:10" x14ac:dyDescent="0.25">
      <c r="A5" t="s">
        <v>5</v>
      </c>
      <c r="B5">
        <v>218</v>
      </c>
      <c r="C5">
        <v>0</v>
      </c>
      <c r="D5" s="1">
        <f>Table4[[#This Row],['# with Full 
Medical Exemption]]/Table4[[#This Row],['# of Students]]</f>
        <v>0</v>
      </c>
      <c r="E5">
        <v>0</v>
      </c>
      <c r="F5" s="1">
        <f>Table4[[#This Row],['# UTD with 
Partial Medical Exemption]]/Table4[[#This Row],['# of Students]]</f>
        <v>0</v>
      </c>
      <c r="G5">
        <v>4</v>
      </c>
      <c r="H5" s="1">
        <f>Table4[[#This Row],['# with Full 
Religous Exemption]]/Table4[[#This Row],['# of Students]]</f>
        <v>1.834862385321101E-2</v>
      </c>
      <c r="I5">
        <v>0</v>
      </c>
      <c r="J5" s="1">
        <f>Table4[[#This Row],['# UTD with 
Partial Religious Exemption]]/Table4[[#This Row],['# of Students]]</f>
        <v>0</v>
      </c>
    </row>
    <row r="6" spans="1:10" x14ac:dyDescent="0.25">
      <c r="A6" t="s">
        <v>6</v>
      </c>
      <c r="B6">
        <v>653</v>
      </c>
      <c r="C6">
        <v>0</v>
      </c>
      <c r="D6" s="1">
        <f>Table4[[#This Row],['# with Full 
Medical Exemption]]/Table4[[#This Row],['# of Students]]</f>
        <v>0</v>
      </c>
      <c r="E6">
        <v>2</v>
      </c>
      <c r="F6" s="1">
        <f>Table4[[#This Row],['# UTD with 
Partial Medical Exemption]]/Table4[[#This Row],['# of Students]]</f>
        <v>3.0627871362940277E-3</v>
      </c>
      <c r="G6">
        <v>10</v>
      </c>
      <c r="H6" s="1">
        <f>Table4[[#This Row],['# with Full 
Religous Exemption]]/Table4[[#This Row],['# of Students]]</f>
        <v>1.5313935681470138E-2</v>
      </c>
      <c r="I6">
        <v>0</v>
      </c>
      <c r="J6" s="1">
        <f>Table4[[#This Row],['# UTD with 
Partial Religious Exemption]]/Table4[[#This Row],['# of Students]]</f>
        <v>0</v>
      </c>
    </row>
    <row r="7" spans="1:10" x14ac:dyDescent="0.25">
      <c r="A7" t="s">
        <v>7</v>
      </c>
      <c r="B7">
        <v>62</v>
      </c>
      <c r="C7">
        <v>0</v>
      </c>
      <c r="D7" s="1">
        <f>Table4[[#This Row],['# with Full 
Medical Exemption]]/Table4[[#This Row],['# of Students]]</f>
        <v>0</v>
      </c>
      <c r="E7">
        <v>0</v>
      </c>
      <c r="F7" s="1">
        <f>Table4[[#This Row],['# UTD with 
Partial Medical Exemption]]/Table4[[#This Row],['# of Students]]</f>
        <v>0</v>
      </c>
      <c r="G7">
        <v>0</v>
      </c>
      <c r="H7" s="1">
        <f>Table4[[#This Row],['# with Full 
Religous Exemption]]/Table4[[#This Row],['# of Students]]</f>
        <v>0</v>
      </c>
      <c r="I7">
        <v>0</v>
      </c>
      <c r="J7" s="1">
        <f>Table4[[#This Row],['# UTD with 
Partial Religious Exemption]]/Table4[[#This Row],['# of Students]]</f>
        <v>0</v>
      </c>
    </row>
    <row r="8" spans="1:10" x14ac:dyDescent="0.25">
      <c r="A8" t="s">
        <v>8</v>
      </c>
      <c r="B8">
        <v>230</v>
      </c>
      <c r="C8">
        <v>0</v>
      </c>
      <c r="D8" s="1">
        <f>Table4[[#This Row],['# with Full 
Medical Exemption]]/Table4[[#This Row],['# of Students]]</f>
        <v>0</v>
      </c>
      <c r="E8">
        <v>0</v>
      </c>
      <c r="F8" s="1">
        <f>Table4[[#This Row],['# UTD with 
Partial Medical Exemption]]/Table4[[#This Row],['# of Students]]</f>
        <v>0</v>
      </c>
      <c r="G8">
        <v>2</v>
      </c>
      <c r="H8" s="1">
        <f>Table4[[#This Row],['# with Full 
Religous Exemption]]/Table4[[#This Row],['# of Students]]</f>
        <v>8.6956521739130436E-3</v>
      </c>
      <c r="I8">
        <v>0</v>
      </c>
      <c r="J8" s="1">
        <f>Table4[[#This Row],['# UTD with 
Partial Religious Exemption]]/Table4[[#This Row],['# of Students]]</f>
        <v>0</v>
      </c>
    </row>
    <row r="9" spans="1:10" x14ac:dyDescent="0.25">
      <c r="A9" t="s">
        <v>9</v>
      </c>
      <c r="B9">
        <v>1181</v>
      </c>
      <c r="C9">
        <v>0</v>
      </c>
      <c r="D9" s="1">
        <f>Table4[[#This Row],['# with Full 
Medical Exemption]]/Table4[[#This Row],['# of Students]]</f>
        <v>0</v>
      </c>
      <c r="E9">
        <v>2</v>
      </c>
      <c r="F9" s="1">
        <f>Table4[[#This Row],['# UTD with 
Partial Medical Exemption]]/Table4[[#This Row],['# of Students]]</f>
        <v>1.693480101608806E-3</v>
      </c>
      <c r="G9">
        <v>25</v>
      </c>
      <c r="H9" s="1">
        <f>Table4[[#This Row],['# with Full 
Religous Exemption]]/Table4[[#This Row],['# of Students]]</f>
        <v>2.1168501270110076E-2</v>
      </c>
      <c r="I9">
        <v>0</v>
      </c>
      <c r="J9" s="1">
        <f>Table4[[#This Row],['# UTD with 
Partial Religious Exemption]]/Table4[[#This Row],['# of Students]]</f>
        <v>0</v>
      </c>
    </row>
    <row r="10" spans="1:10" x14ac:dyDescent="0.25">
      <c r="A10" t="s">
        <v>10</v>
      </c>
      <c r="B10">
        <v>236</v>
      </c>
      <c r="C10">
        <v>0</v>
      </c>
      <c r="D10" s="1">
        <f>Table4[[#This Row],['# with Full 
Medical Exemption]]/Table4[[#This Row],['# of Students]]</f>
        <v>0</v>
      </c>
      <c r="E10">
        <v>1</v>
      </c>
      <c r="F10" s="1">
        <f>Table4[[#This Row],['# UTD with 
Partial Medical Exemption]]/Table4[[#This Row],['# of Students]]</f>
        <v>4.2372881355932203E-3</v>
      </c>
      <c r="G10">
        <v>2</v>
      </c>
      <c r="H10" s="1">
        <f>Table4[[#This Row],['# with Full 
Religous Exemption]]/Table4[[#This Row],['# of Students]]</f>
        <v>8.4745762711864406E-3</v>
      </c>
      <c r="I10">
        <v>0</v>
      </c>
      <c r="J10" s="1">
        <f>Table4[[#This Row],['# UTD with 
Partial Religious Exemption]]/Table4[[#This Row],['# of Students]]</f>
        <v>0</v>
      </c>
    </row>
    <row r="11" spans="1:10" x14ac:dyDescent="0.25">
      <c r="A11" t="s">
        <v>11</v>
      </c>
      <c r="B11">
        <v>259</v>
      </c>
      <c r="C11">
        <v>0</v>
      </c>
      <c r="D11" s="1">
        <f>Table4[[#This Row],['# with Full 
Medical Exemption]]/Table4[[#This Row],['# of Students]]</f>
        <v>0</v>
      </c>
      <c r="E11">
        <v>0</v>
      </c>
      <c r="F11" s="1">
        <f>Table4[[#This Row],['# UTD with 
Partial Medical Exemption]]/Table4[[#This Row],['# of Students]]</f>
        <v>0</v>
      </c>
      <c r="G11">
        <v>5</v>
      </c>
      <c r="H11" s="1">
        <f>Table4[[#This Row],['# with Full 
Religous Exemption]]/Table4[[#This Row],['# of Students]]</f>
        <v>1.9305019305019305E-2</v>
      </c>
      <c r="I11">
        <v>0</v>
      </c>
      <c r="J11" s="1">
        <f>Table4[[#This Row],['# UTD with 
Partial Religious Exemption]]/Table4[[#This Row],['# of Students]]</f>
        <v>0</v>
      </c>
    </row>
    <row r="12" spans="1:10" x14ac:dyDescent="0.25">
      <c r="A12" t="s">
        <v>12</v>
      </c>
      <c r="B12">
        <v>429</v>
      </c>
      <c r="C12">
        <v>1</v>
      </c>
      <c r="D12" s="1">
        <f>Table4[[#This Row],['# with Full 
Medical Exemption]]/Table4[[#This Row],['# of Students]]</f>
        <v>2.331002331002331E-3</v>
      </c>
      <c r="E12">
        <v>0</v>
      </c>
      <c r="F12" s="1">
        <f>Table4[[#This Row],['# UTD with 
Partial Medical Exemption]]/Table4[[#This Row],['# of Students]]</f>
        <v>0</v>
      </c>
      <c r="G12">
        <v>7</v>
      </c>
      <c r="H12" s="1">
        <f>Table4[[#This Row],['# with Full 
Religous Exemption]]/Table4[[#This Row],['# of Students]]</f>
        <v>1.6317016317016316E-2</v>
      </c>
      <c r="I12">
        <v>0</v>
      </c>
      <c r="J12" s="1">
        <f>Table4[[#This Row],['# UTD with 
Partial Religious Exemption]]/Table4[[#This Row],['# of Students]]</f>
        <v>0</v>
      </c>
    </row>
    <row r="13" spans="1:10" x14ac:dyDescent="0.25">
      <c r="A13" t="s">
        <v>13</v>
      </c>
      <c r="B13">
        <v>79</v>
      </c>
      <c r="C13">
        <v>0</v>
      </c>
      <c r="D13" s="1">
        <f>Table4[[#This Row],['# with Full 
Medical Exemption]]/Table4[[#This Row],['# of Students]]</f>
        <v>0</v>
      </c>
      <c r="E13">
        <v>0</v>
      </c>
      <c r="F13" s="1">
        <f>Table4[[#This Row],['# UTD with 
Partial Medical Exemption]]/Table4[[#This Row],['# of Students]]</f>
        <v>0</v>
      </c>
      <c r="G13">
        <v>0</v>
      </c>
      <c r="H13" s="1">
        <f>Table4[[#This Row],['# with Full 
Religous Exemption]]/Table4[[#This Row],['# of Students]]</f>
        <v>0</v>
      </c>
      <c r="I13">
        <v>0</v>
      </c>
      <c r="J13" s="1">
        <f>Table4[[#This Row],['# UTD with 
Partial Religious Exemption]]/Table4[[#This Row],['# of Students]]</f>
        <v>0</v>
      </c>
    </row>
    <row r="14" spans="1:10" x14ac:dyDescent="0.25">
      <c r="A14" t="s">
        <v>14</v>
      </c>
      <c r="B14">
        <v>276</v>
      </c>
      <c r="C14">
        <v>0</v>
      </c>
      <c r="D14" s="1">
        <f>Table4[[#This Row],['# with Full 
Medical Exemption]]/Table4[[#This Row],['# of Students]]</f>
        <v>0</v>
      </c>
      <c r="E14">
        <v>0</v>
      </c>
      <c r="F14" s="1">
        <f>Table4[[#This Row],['# UTD with 
Partial Medical Exemption]]/Table4[[#This Row],['# of Students]]</f>
        <v>0</v>
      </c>
      <c r="G14">
        <v>2</v>
      </c>
      <c r="H14" s="1">
        <f>Table4[[#This Row],['# with Full 
Religous Exemption]]/Table4[[#This Row],['# of Students]]</f>
        <v>7.246376811594203E-3</v>
      </c>
      <c r="I14">
        <v>0</v>
      </c>
      <c r="J14" s="1">
        <f>Table4[[#This Row],['# UTD with 
Partial Religious Exemption]]/Table4[[#This Row],['# of Students]]</f>
        <v>0</v>
      </c>
    </row>
    <row r="15" spans="1:10" x14ac:dyDescent="0.25">
      <c r="A15" t="s">
        <v>15</v>
      </c>
      <c r="B15">
        <v>158</v>
      </c>
      <c r="C15">
        <v>0</v>
      </c>
      <c r="D15" s="1">
        <f>Table4[[#This Row],['# with Full 
Medical Exemption]]/Table4[[#This Row],['# of Students]]</f>
        <v>0</v>
      </c>
      <c r="E15">
        <v>0</v>
      </c>
      <c r="F15" s="1">
        <f>Table4[[#This Row],['# UTD with 
Partial Medical Exemption]]/Table4[[#This Row],['# of Students]]</f>
        <v>0</v>
      </c>
      <c r="G15">
        <v>2</v>
      </c>
      <c r="H15" s="1">
        <f>Table4[[#This Row],['# with Full 
Religous Exemption]]/Table4[[#This Row],['# of Students]]</f>
        <v>1.2658227848101266E-2</v>
      </c>
      <c r="I15">
        <v>0</v>
      </c>
      <c r="J15" s="1">
        <f>Table4[[#This Row],['# UTD with 
Partial Religious Exemption]]/Table4[[#This Row],['# of Students]]</f>
        <v>0</v>
      </c>
    </row>
    <row r="16" spans="1:10" x14ac:dyDescent="0.25">
      <c r="A16" t="s">
        <v>16</v>
      </c>
      <c r="B16">
        <v>195</v>
      </c>
      <c r="C16">
        <v>0</v>
      </c>
      <c r="D16" s="1">
        <f>Table4[[#This Row],['# with Full 
Medical Exemption]]/Table4[[#This Row],['# of Students]]</f>
        <v>0</v>
      </c>
      <c r="E16">
        <v>0</v>
      </c>
      <c r="F16" s="1">
        <f>Table4[[#This Row],['# UTD with 
Partial Medical Exemption]]/Table4[[#This Row],['# of Students]]</f>
        <v>0</v>
      </c>
      <c r="G16">
        <v>12</v>
      </c>
      <c r="H16" s="1">
        <f>Table4[[#This Row],['# with Full 
Religous Exemption]]/Table4[[#This Row],['# of Students]]</f>
        <v>6.1538461538461542E-2</v>
      </c>
      <c r="I16">
        <v>0</v>
      </c>
      <c r="J16" s="1">
        <f>Table4[[#This Row],['# UTD with 
Partial Religious Exemption]]/Table4[[#This Row],['# of Students]]</f>
        <v>0</v>
      </c>
    </row>
    <row r="17" spans="1:10" x14ac:dyDescent="0.25">
      <c r="A17" t="s">
        <v>17</v>
      </c>
      <c r="B17">
        <v>647</v>
      </c>
      <c r="C17">
        <v>1</v>
      </c>
      <c r="D17" s="1">
        <f>Table4[[#This Row],['# with Full 
Medical Exemption]]/Table4[[#This Row],['# of Students]]</f>
        <v>1.5455950540958269E-3</v>
      </c>
      <c r="E17">
        <v>1</v>
      </c>
      <c r="F17" s="1">
        <f>Table4[[#This Row],['# UTD with 
Partial Medical Exemption]]/Table4[[#This Row],['# of Students]]</f>
        <v>1.5455950540958269E-3</v>
      </c>
      <c r="G17">
        <v>21</v>
      </c>
      <c r="H17" s="1">
        <f>Table4[[#This Row],['# with Full 
Religous Exemption]]/Table4[[#This Row],['# of Students]]</f>
        <v>3.2457496136012363E-2</v>
      </c>
      <c r="I17">
        <v>0</v>
      </c>
      <c r="J17" s="1">
        <f>Table4[[#This Row],['# UTD with 
Partial Religious Exemption]]/Table4[[#This Row],['# of Students]]</f>
        <v>0</v>
      </c>
    </row>
    <row r="18" spans="1:10" x14ac:dyDescent="0.25">
      <c r="A18" t="s">
        <v>18</v>
      </c>
      <c r="B18">
        <v>520</v>
      </c>
      <c r="C18">
        <v>0</v>
      </c>
      <c r="D18" s="1">
        <f>Table4[[#This Row],['# with Full 
Medical Exemption]]/Table4[[#This Row],['# of Students]]</f>
        <v>0</v>
      </c>
      <c r="E18">
        <v>0</v>
      </c>
      <c r="F18" s="1">
        <f>Table4[[#This Row],['# UTD with 
Partial Medical Exemption]]/Table4[[#This Row],['# of Students]]</f>
        <v>0</v>
      </c>
      <c r="G18">
        <v>7</v>
      </c>
      <c r="H18" s="1">
        <f>Table4[[#This Row],['# with Full 
Religous Exemption]]/Table4[[#This Row],['# of Students]]</f>
        <v>1.3461538461538462E-2</v>
      </c>
      <c r="I18">
        <v>0</v>
      </c>
      <c r="J18" s="1">
        <f>Table4[[#This Row],['# UTD with 
Partial Religious Exemption]]/Table4[[#This Row],['# of Students]]</f>
        <v>0</v>
      </c>
    </row>
    <row r="19" spans="1:10" x14ac:dyDescent="0.25">
      <c r="A19" t="s">
        <v>19</v>
      </c>
      <c r="B19">
        <v>90</v>
      </c>
      <c r="C19">
        <v>0</v>
      </c>
      <c r="D19" s="1">
        <f>Table4[[#This Row],['# with Full 
Medical Exemption]]/Table4[[#This Row],['# of Students]]</f>
        <v>0</v>
      </c>
      <c r="E19">
        <v>0</v>
      </c>
      <c r="F19" s="1">
        <f>Table4[[#This Row],['# UTD with 
Partial Medical Exemption]]/Table4[[#This Row],['# of Students]]</f>
        <v>0</v>
      </c>
      <c r="G19">
        <v>1</v>
      </c>
      <c r="H19" s="1">
        <f>Table4[[#This Row],['# with Full 
Religous Exemption]]/Table4[[#This Row],['# of Students]]</f>
        <v>1.1111111111111112E-2</v>
      </c>
      <c r="I19">
        <v>0</v>
      </c>
      <c r="J19" s="1">
        <f>Table4[[#This Row],['# UTD with 
Partial Religious Exemption]]/Table4[[#This Row],['# of Students]]</f>
        <v>0</v>
      </c>
    </row>
    <row r="20" spans="1:10" x14ac:dyDescent="0.25">
      <c r="A20" t="s">
        <v>20</v>
      </c>
      <c r="B20">
        <v>55</v>
      </c>
      <c r="C20">
        <v>0</v>
      </c>
      <c r="D20" s="1">
        <f>Table4[[#This Row],['# with Full 
Medical Exemption]]/Table4[[#This Row],['# of Students]]</f>
        <v>0</v>
      </c>
      <c r="E20">
        <v>0</v>
      </c>
      <c r="F20" s="1">
        <f>Table4[[#This Row],['# UTD with 
Partial Medical Exemption]]/Table4[[#This Row],['# of Students]]</f>
        <v>0</v>
      </c>
      <c r="G20">
        <v>0</v>
      </c>
      <c r="H20" s="1">
        <f>Table4[[#This Row],['# with Full 
Religous Exemption]]/Table4[[#This Row],['# of Students]]</f>
        <v>0</v>
      </c>
      <c r="I20">
        <v>0</v>
      </c>
      <c r="J20" s="1">
        <f>Table4[[#This Row],['# UTD with 
Partial Religious Exemption]]/Table4[[#This Row],['# of Students]]</f>
        <v>0</v>
      </c>
    </row>
    <row r="21" spans="1:10" x14ac:dyDescent="0.25">
      <c r="A21" t="s">
        <v>21</v>
      </c>
      <c r="B21">
        <v>391</v>
      </c>
      <c r="C21">
        <v>0</v>
      </c>
      <c r="D21" s="1">
        <f>Table4[[#This Row],['# with Full 
Medical Exemption]]/Table4[[#This Row],['# of Students]]</f>
        <v>0</v>
      </c>
      <c r="E21">
        <v>0</v>
      </c>
      <c r="F21" s="1">
        <f>Table4[[#This Row],['# UTD with 
Partial Medical Exemption]]/Table4[[#This Row],['# of Students]]</f>
        <v>0</v>
      </c>
      <c r="G21">
        <v>10</v>
      </c>
      <c r="H21" s="1">
        <f>Table4[[#This Row],['# with Full 
Religous Exemption]]/Table4[[#This Row],['# of Students]]</f>
        <v>2.557544757033248E-2</v>
      </c>
      <c r="I21">
        <v>0</v>
      </c>
      <c r="J21" s="1">
        <f>Table4[[#This Row],['# UTD with 
Partial Religious Exemption]]/Table4[[#This Row],['# of Students]]</f>
        <v>0</v>
      </c>
    </row>
    <row r="22" spans="1:10" x14ac:dyDescent="0.25">
      <c r="A22" t="s">
        <v>22</v>
      </c>
      <c r="B22">
        <v>143</v>
      </c>
      <c r="C22">
        <v>0</v>
      </c>
      <c r="D22" s="1">
        <f>Table4[[#This Row],['# with Full 
Medical Exemption]]/Table4[[#This Row],['# of Students]]</f>
        <v>0</v>
      </c>
      <c r="E22">
        <v>0</v>
      </c>
      <c r="F22" s="1">
        <f>Table4[[#This Row],['# UTD with 
Partial Medical Exemption]]/Table4[[#This Row],['# of Students]]</f>
        <v>0</v>
      </c>
      <c r="G22">
        <v>2</v>
      </c>
      <c r="H22" s="1">
        <f>Table4[[#This Row],['# with Full 
Religous Exemption]]/Table4[[#This Row],['# of Students]]</f>
        <v>1.3986013986013986E-2</v>
      </c>
      <c r="I22">
        <v>0</v>
      </c>
      <c r="J22" s="1">
        <f>Table4[[#This Row],['# UTD with 
Partial Religious Exemption]]/Table4[[#This Row],['# of Students]]</f>
        <v>0</v>
      </c>
    </row>
    <row r="23" spans="1:10" x14ac:dyDescent="0.25">
      <c r="A23" t="s">
        <v>23</v>
      </c>
      <c r="B23">
        <v>838</v>
      </c>
      <c r="C23">
        <v>0</v>
      </c>
      <c r="D23" s="1">
        <f>Table4[[#This Row],['# with Full 
Medical Exemption]]/Table4[[#This Row],['# of Students]]</f>
        <v>0</v>
      </c>
      <c r="E23">
        <v>0</v>
      </c>
      <c r="F23" s="1">
        <f>Table4[[#This Row],['# UTD with 
Partial Medical Exemption]]/Table4[[#This Row],['# of Students]]</f>
        <v>0</v>
      </c>
      <c r="G23">
        <v>11</v>
      </c>
      <c r="H23" s="1">
        <f>Table4[[#This Row],['# with Full 
Religous Exemption]]/Table4[[#This Row],['# of Students]]</f>
        <v>1.3126491646778043E-2</v>
      </c>
      <c r="I23">
        <v>0</v>
      </c>
      <c r="J23" s="1">
        <f>Table4[[#This Row],['# UTD with 
Partial Religious Exemption]]/Table4[[#This Row],['# of Students]]</f>
        <v>0</v>
      </c>
    </row>
    <row r="24" spans="1:10" x14ac:dyDescent="0.25">
      <c r="A24" t="s">
        <v>24</v>
      </c>
      <c r="B24">
        <v>378</v>
      </c>
      <c r="C24">
        <v>0</v>
      </c>
      <c r="D24" s="1">
        <f>Table4[[#This Row],['# with Full 
Medical Exemption]]/Table4[[#This Row],['# of Students]]</f>
        <v>0</v>
      </c>
      <c r="E24">
        <v>0</v>
      </c>
      <c r="F24" s="1">
        <f>Table4[[#This Row],['# UTD with 
Partial Medical Exemption]]/Table4[[#This Row],['# of Students]]</f>
        <v>0</v>
      </c>
      <c r="G24">
        <v>13</v>
      </c>
      <c r="H24" s="1">
        <f>Table4[[#This Row],['# with Full 
Religous Exemption]]/Table4[[#This Row],['# of Students]]</f>
        <v>3.439153439153439E-2</v>
      </c>
      <c r="I24">
        <v>0</v>
      </c>
      <c r="J24" s="1">
        <f>Table4[[#This Row],['# UTD with 
Partial Religious Exemption]]/Table4[[#This Row],['# of Students]]</f>
        <v>0</v>
      </c>
    </row>
    <row r="25" spans="1:10" x14ac:dyDescent="0.25">
      <c r="A25" t="s">
        <v>25</v>
      </c>
      <c r="B25">
        <v>209</v>
      </c>
      <c r="C25">
        <v>0</v>
      </c>
      <c r="D25" s="1">
        <f>Table4[[#This Row],['# with Full 
Medical Exemption]]/Table4[[#This Row],['# of Students]]</f>
        <v>0</v>
      </c>
      <c r="E25">
        <v>0</v>
      </c>
      <c r="F25" s="1">
        <f>Table4[[#This Row],['# UTD with 
Partial Medical Exemption]]/Table4[[#This Row],['# of Students]]</f>
        <v>0</v>
      </c>
      <c r="G25">
        <v>1</v>
      </c>
      <c r="H25" s="1">
        <f>Table4[[#This Row],['# with Full 
Religous Exemption]]/Table4[[#This Row],['# of Students]]</f>
        <v>4.7846889952153108E-3</v>
      </c>
      <c r="I25">
        <v>0</v>
      </c>
      <c r="J25" s="1">
        <f>Table4[[#This Row],['# UTD with 
Partial Religious Exemption]]/Table4[[#This Row],['# of Students]]</f>
        <v>0</v>
      </c>
    </row>
    <row r="26" spans="1:10" x14ac:dyDescent="0.25">
      <c r="A26" t="s">
        <v>26</v>
      </c>
      <c r="B26">
        <v>727</v>
      </c>
      <c r="C26">
        <v>0</v>
      </c>
      <c r="D26" s="1">
        <f>Table4[[#This Row],['# with Full 
Medical Exemption]]/Table4[[#This Row],['# of Students]]</f>
        <v>0</v>
      </c>
      <c r="E26">
        <v>0</v>
      </c>
      <c r="F26" s="1">
        <f>Table4[[#This Row],['# UTD with 
Partial Medical Exemption]]/Table4[[#This Row],['# of Students]]</f>
        <v>0</v>
      </c>
      <c r="G26">
        <v>18</v>
      </c>
      <c r="H26" s="1">
        <f>Table4[[#This Row],['# with Full 
Religous Exemption]]/Table4[[#This Row],['# of Students]]</f>
        <v>2.4759284731774415E-2</v>
      </c>
      <c r="I26">
        <v>0</v>
      </c>
      <c r="J26" s="1">
        <f>Table4[[#This Row],['# UTD with 
Partial Religious Exemption]]/Table4[[#This Row],['# of Students]]</f>
        <v>0</v>
      </c>
    </row>
    <row r="27" spans="1:10" x14ac:dyDescent="0.25">
      <c r="A27" t="s">
        <v>27</v>
      </c>
      <c r="B27">
        <v>971</v>
      </c>
      <c r="C27">
        <v>0</v>
      </c>
      <c r="D27" s="1">
        <f>Table4[[#This Row],['# with Full 
Medical Exemption]]/Table4[[#This Row],['# of Students]]</f>
        <v>0</v>
      </c>
      <c r="E27">
        <v>0</v>
      </c>
      <c r="F27" s="1">
        <f>Table4[[#This Row],['# UTD with 
Partial Medical Exemption]]/Table4[[#This Row],['# of Students]]</f>
        <v>0</v>
      </c>
      <c r="G27">
        <v>23</v>
      </c>
      <c r="H27" s="1">
        <f>Table4[[#This Row],['# with Full 
Religous Exemption]]/Table4[[#This Row],['# of Students]]</f>
        <v>2.368692070030896E-2</v>
      </c>
      <c r="I27">
        <v>0</v>
      </c>
      <c r="J27" s="1">
        <f>Table4[[#This Row],['# UTD with 
Partial Religious Exemption]]/Table4[[#This Row],['# of Students]]</f>
        <v>0</v>
      </c>
    </row>
    <row r="28" spans="1:10" x14ac:dyDescent="0.25">
      <c r="A28" t="s">
        <v>28</v>
      </c>
      <c r="B28">
        <v>260</v>
      </c>
      <c r="C28">
        <v>0</v>
      </c>
      <c r="D28" s="1">
        <f>Table4[[#This Row],['# with Full 
Medical Exemption]]/Table4[[#This Row],['# of Students]]</f>
        <v>0</v>
      </c>
      <c r="E28">
        <v>0</v>
      </c>
      <c r="F28" s="1">
        <f>Table4[[#This Row],['# UTD with 
Partial Medical Exemption]]/Table4[[#This Row],['# of Students]]</f>
        <v>0</v>
      </c>
      <c r="G28">
        <v>2</v>
      </c>
      <c r="H28" s="1">
        <f>Table4[[#This Row],['# with Full 
Religous Exemption]]/Table4[[#This Row],['# of Students]]</f>
        <v>7.6923076923076927E-3</v>
      </c>
      <c r="I28">
        <v>0</v>
      </c>
      <c r="J28" s="1">
        <f>Table4[[#This Row],['# UTD with 
Partial Religious Exemption]]/Table4[[#This Row],['# of Students]]</f>
        <v>0</v>
      </c>
    </row>
    <row r="29" spans="1:10" x14ac:dyDescent="0.25">
      <c r="A29" t="s">
        <v>29</v>
      </c>
      <c r="B29">
        <v>1038</v>
      </c>
      <c r="C29">
        <v>2</v>
      </c>
      <c r="D29" s="1">
        <f>Table4[[#This Row],['# with Full 
Medical Exemption]]/Table4[[#This Row],['# of Students]]</f>
        <v>1.9267822736030828E-3</v>
      </c>
      <c r="E29">
        <v>0</v>
      </c>
      <c r="F29" s="1">
        <f>Table4[[#This Row],['# UTD with 
Partial Medical Exemption]]/Table4[[#This Row],['# of Students]]</f>
        <v>0</v>
      </c>
      <c r="G29">
        <v>26</v>
      </c>
      <c r="H29" s="1">
        <f>Table4[[#This Row],['# with Full 
Religous Exemption]]/Table4[[#This Row],['# of Students]]</f>
        <v>2.5048169556840076E-2</v>
      </c>
      <c r="I29">
        <v>0</v>
      </c>
      <c r="J29" s="1">
        <f>Table4[[#This Row],['# UTD with 
Partial Religious Exemption]]/Table4[[#This Row],['# of Students]]</f>
        <v>0</v>
      </c>
    </row>
    <row r="30" spans="1:10" x14ac:dyDescent="0.25">
      <c r="A30" t="s">
        <v>30</v>
      </c>
      <c r="B30">
        <v>180</v>
      </c>
      <c r="C30">
        <v>0</v>
      </c>
      <c r="D30" s="1">
        <f>Table4[[#This Row],['# with Full 
Medical Exemption]]/Table4[[#This Row],['# of Students]]</f>
        <v>0</v>
      </c>
      <c r="E30">
        <v>0</v>
      </c>
      <c r="F30" s="1">
        <f>Table4[[#This Row],['# UTD with 
Partial Medical Exemption]]/Table4[[#This Row],['# of Students]]</f>
        <v>0</v>
      </c>
      <c r="G30">
        <v>4</v>
      </c>
      <c r="H30" s="1">
        <f>Table4[[#This Row],['# with Full 
Religous Exemption]]/Table4[[#This Row],['# of Students]]</f>
        <v>2.2222222222222223E-2</v>
      </c>
      <c r="I30">
        <v>0</v>
      </c>
      <c r="J30" s="1">
        <f>Table4[[#This Row],['# UTD with 
Partial Religious Exemption]]/Table4[[#This Row],['# of Students]]</f>
        <v>0</v>
      </c>
    </row>
    <row r="31" spans="1:10" x14ac:dyDescent="0.25">
      <c r="A31" t="s">
        <v>31</v>
      </c>
      <c r="B31">
        <v>314</v>
      </c>
      <c r="C31">
        <v>0</v>
      </c>
      <c r="D31" s="1">
        <f>Table4[[#This Row],['# with Full 
Medical Exemption]]/Table4[[#This Row],['# of Students]]</f>
        <v>0</v>
      </c>
      <c r="E31">
        <v>0</v>
      </c>
      <c r="F31" s="1">
        <f>Table4[[#This Row],['# UTD with 
Partial Medical Exemption]]/Table4[[#This Row],['# of Students]]</f>
        <v>0</v>
      </c>
      <c r="G31">
        <v>5</v>
      </c>
      <c r="H31" s="1">
        <f>Table4[[#This Row],['# with Full 
Religous Exemption]]/Table4[[#This Row],['# of Students]]</f>
        <v>1.5923566878980892E-2</v>
      </c>
      <c r="I31">
        <v>0</v>
      </c>
      <c r="J31" s="1">
        <f>Table4[[#This Row],['# UTD with 
Partial Religious Exemption]]/Table4[[#This Row],['# of Students]]</f>
        <v>0</v>
      </c>
    </row>
    <row r="32" spans="1:10" x14ac:dyDescent="0.25">
      <c r="A32" t="s">
        <v>32</v>
      </c>
      <c r="B32">
        <v>329</v>
      </c>
      <c r="C32">
        <v>0</v>
      </c>
      <c r="D32" s="1">
        <f>Table4[[#This Row],['# with Full 
Medical Exemption]]/Table4[[#This Row],['# of Students]]</f>
        <v>0</v>
      </c>
      <c r="E32">
        <v>1</v>
      </c>
      <c r="F32" s="1">
        <f>Table4[[#This Row],['# UTD with 
Partial Medical Exemption]]/Table4[[#This Row],['# of Students]]</f>
        <v>3.0395136778115501E-3</v>
      </c>
      <c r="G32">
        <v>10</v>
      </c>
      <c r="H32" s="1">
        <f>Table4[[#This Row],['# with Full 
Religous Exemption]]/Table4[[#This Row],['# of Students]]</f>
        <v>3.0395136778115502E-2</v>
      </c>
      <c r="I32">
        <v>0</v>
      </c>
      <c r="J32" s="1">
        <f>Table4[[#This Row],['# UTD with 
Partial Religious Exemption]]/Table4[[#This Row],['# of Students]]</f>
        <v>0</v>
      </c>
    </row>
    <row r="33" spans="1:10" x14ac:dyDescent="0.25">
      <c r="A33" t="s">
        <v>33</v>
      </c>
      <c r="B33">
        <v>40</v>
      </c>
      <c r="C33">
        <v>0</v>
      </c>
      <c r="D33" s="1">
        <f>Table4[[#This Row],['# with Full 
Medical Exemption]]/Table4[[#This Row],['# of Students]]</f>
        <v>0</v>
      </c>
      <c r="E33">
        <v>0</v>
      </c>
      <c r="F33" s="1">
        <f>Table4[[#This Row],['# UTD with 
Partial Medical Exemption]]/Table4[[#This Row],['# of Students]]</f>
        <v>0</v>
      </c>
      <c r="G33">
        <v>0</v>
      </c>
      <c r="H33" s="1">
        <f>Table4[[#This Row],['# with Full 
Religous Exemption]]/Table4[[#This Row],['# of Students]]</f>
        <v>0</v>
      </c>
      <c r="I33">
        <v>0</v>
      </c>
      <c r="J33" s="1">
        <f>Table4[[#This Row],['# UTD with 
Partial Religious Exemption]]/Table4[[#This Row],['# of Students]]</f>
        <v>0</v>
      </c>
    </row>
    <row r="34" spans="1:10" x14ac:dyDescent="0.25">
      <c r="A34" t="s">
        <v>34</v>
      </c>
      <c r="B34">
        <v>143</v>
      </c>
      <c r="C34">
        <v>0</v>
      </c>
      <c r="D34" s="1">
        <f>Table4[[#This Row],['# with Full 
Medical Exemption]]/Table4[[#This Row],['# of Students]]</f>
        <v>0</v>
      </c>
      <c r="E34">
        <v>0</v>
      </c>
      <c r="F34" s="1">
        <f>Table4[[#This Row],['# UTD with 
Partial Medical Exemption]]/Table4[[#This Row],['# of Students]]</f>
        <v>0</v>
      </c>
      <c r="G34">
        <v>0</v>
      </c>
      <c r="H34" s="1">
        <f>Table4[[#This Row],['# with Full 
Religous Exemption]]/Table4[[#This Row],['# of Students]]</f>
        <v>0</v>
      </c>
      <c r="I34">
        <v>0</v>
      </c>
      <c r="J34" s="1">
        <f>Table4[[#This Row],['# UTD with 
Partial Religious Exemption]]/Table4[[#This Row],['# of Students]]</f>
        <v>0</v>
      </c>
    </row>
    <row r="35" spans="1:10" x14ac:dyDescent="0.25">
      <c r="A35" t="s">
        <v>35</v>
      </c>
      <c r="B35">
        <v>209</v>
      </c>
      <c r="C35">
        <v>0</v>
      </c>
      <c r="D35" s="1">
        <f>Table4[[#This Row],['# with Full 
Medical Exemption]]/Table4[[#This Row],['# of Students]]</f>
        <v>0</v>
      </c>
      <c r="E35">
        <v>1</v>
      </c>
      <c r="F35" s="1">
        <f>Table4[[#This Row],['# UTD with 
Partial Medical Exemption]]/Table4[[#This Row],['# of Students]]</f>
        <v>4.7846889952153108E-3</v>
      </c>
      <c r="G35">
        <v>0</v>
      </c>
      <c r="H35" s="1">
        <f>Table4[[#This Row],['# with Full 
Religous Exemption]]/Table4[[#This Row],['# of Students]]</f>
        <v>0</v>
      </c>
      <c r="I35">
        <v>0</v>
      </c>
      <c r="J35" s="1">
        <f>Table4[[#This Row],['# UTD with 
Partial Religious Exemption]]/Table4[[#This Row],['# of Students]]</f>
        <v>0</v>
      </c>
    </row>
    <row r="36" spans="1:10" x14ac:dyDescent="0.25">
      <c r="A36" t="s">
        <v>36</v>
      </c>
      <c r="B36">
        <v>1080</v>
      </c>
      <c r="C36">
        <v>3</v>
      </c>
      <c r="D36" s="1">
        <f>Table4[[#This Row],['# with Full 
Medical Exemption]]/Table4[[#This Row],['# of Students]]</f>
        <v>2.7777777777777779E-3</v>
      </c>
      <c r="E36">
        <v>5</v>
      </c>
      <c r="F36" s="1">
        <f>Table4[[#This Row],['# UTD with 
Partial Medical Exemption]]/Table4[[#This Row],['# of Students]]</f>
        <v>4.6296296296296294E-3</v>
      </c>
      <c r="G36">
        <v>4</v>
      </c>
      <c r="H36" s="1">
        <f>Table4[[#This Row],['# with Full 
Religous Exemption]]/Table4[[#This Row],['# of Students]]</f>
        <v>3.7037037037037038E-3</v>
      </c>
      <c r="I36">
        <v>2</v>
      </c>
      <c r="J36" s="1">
        <f>Table4[[#This Row],['# UTD with 
Partial Religious Exemption]]/Table4[[#This Row],['# of Students]]</f>
        <v>1.8518518518518519E-3</v>
      </c>
    </row>
    <row r="37" spans="1:10" x14ac:dyDescent="0.25">
      <c r="A37" t="s">
        <v>37</v>
      </c>
      <c r="B37">
        <v>534</v>
      </c>
      <c r="C37">
        <v>0</v>
      </c>
      <c r="D37" s="1">
        <f>Table4[[#This Row],['# with Full 
Medical Exemption]]/Table4[[#This Row],['# of Students]]</f>
        <v>0</v>
      </c>
      <c r="E37">
        <v>0</v>
      </c>
      <c r="F37" s="1">
        <f>Table4[[#This Row],['# UTD with 
Partial Medical Exemption]]/Table4[[#This Row],['# of Students]]</f>
        <v>0</v>
      </c>
      <c r="G37">
        <v>17</v>
      </c>
      <c r="H37" s="1">
        <f>Table4[[#This Row],['# with Full 
Religous Exemption]]/Table4[[#This Row],['# of Students]]</f>
        <v>3.1835205992509365E-2</v>
      </c>
      <c r="I37">
        <v>0</v>
      </c>
      <c r="J37" s="1">
        <f>Table4[[#This Row],['# UTD with 
Partial Religious Exemption]]/Table4[[#This Row],['# of Students]]</f>
        <v>0</v>
      </c>
    </row>
    <row r="38" spans="1:10" x14ac:dyDescent="0.25">
      <c r="A38" t="s">
        <v>38</v>
      </c>
      <c r="B38">
        <v>5589</v>
      </c>
      <c r="C38">
        <v>4</v>
      </c>
      <c r="D38" s="1">
        <f>Table4[[#This Row],['# with Full 
Medical Exemption]]/Table4[[#This Row],['# of Students]]</f>
        <v>7.1569153694757556E-4</v>
      </c>
      <c r="E38">
        <v>2</v>
      </c>
      <c r="F38" s="1">
        <f>Table4[[#This Row],['# UTD with 
Partial Medical Exemption]]/Table4[[#This Row],['# of Students]]</f>
        <v>3.5784576847378778E-4</v>
      </c>
      <c r="G38">
        <v>90</v>
      </c>
      <c r="H38" s="1">
        <f>Table4[[#This Row],['# with Full 
Religous Exemption]]/Table4[[#This Row],['# of Students]]</f>
        <v>1.610305958132045E-2</v>
      </c>
      <c r="I38">
        <v>1</v>
      </c>
      <c r="J38" s="1">
        <f>Table4[[#This Row],['# UTD with 
Partial Religious Exemption]]/Table4[[#This Row],['# of Students]]</f>
        <v>1.7892288423689389E-4</v>
      </c>
    </row>
    <row r="39" spans="1:10" x14ac:dyDescent="0.25">
      <c r="A39" t="s">
        <v>39</v>
      </c>
      <c r="B39">
        <v>182</v>
      </c>
      <c r="C39">
        <v>0</v>
      </c>
      <c r="D39" s="1">
        <f>Table4[[#This Row],['# with Full 
Medical Exemption]]/Table4[[#This Row],['# of Students]]</f>
        <v>0</v>
      </c>
      <c r="E39">
        <v>0</v>
      </c>
      <c r="F39" s="1">
        <f>Table4[[#This Row],['# UTD with 
Partial Medical Exemption]]/Table4[[#This Row],['# of Students]]</f>
        <v>0</v>
      </c>
      <c r="G39">
        <v>1</v>
      </c>
      <c r="H39" s="1">
        <f>Table4[[#This Row],['# with Full 
Religous Exemption]]/Table4[[#This Row],['# of Students]]</f>
        <v>5.4945054945054949E-3</v>
      </c>
      <c r="I39">
        <v>0</v>
      </c>
      <c r="J39" s="1">
        <f>Table4[[#This Row],['# UTD with 
Partial Religious Exemption]]/Table4[[#This Row],['# of Students]]</f>
        <v>0</v>
      </c>
    </row>
    <row r="40" spans="1:10" x14ac:dyDescent="0.25">
      <c r="A40" t="s">
        <v>40</v>
      </c>
      <c r="B40">
        <v>999</v>
      </c>
      <c r="C40">
        <v>0</v>
      </c>
      <c r="D40" s="1">
        <f>Table4[[#This Row],['# with Full 
Medical Exemption]]/Table4[[#This Row],['# of Students]]</f>
        <v>0</v>
      </c>
      <c r="E40">
        <v>0</v>
      </c>
      <c r="F40" s="1">
        <f>Table4[[#This Row],['# UTD with 
Partial Medical Exemption]]/Table4[[#This Row],['# of Students]]</f>
        <v>0</v>
      </c>
      <c r="G40">
        <v>26</v>
      </c>
      <c r="H40" s="1">
        <f>Table4[[#This Row],['# with Full 
Religous Exemption]]/Table4[[#This Row],['# of Students]]</f>
        <v>2.6026026026026026E-2</v>
      </c>
      <c r="I40">
        <v>0</v>
      </c>
      <c r="J40" s="1">
        <f>Table4[[#This Row],['# UTD with 
Partial Religious Exemption]]/Table4[[#This Row],['# of Students]]</f>
        <v>0</v>
      </c>
    </row>
    <row r="41" spans="1:10" x14ac:dyDescent="0.25">
      <c r="A41" t="s">
        <v>41</v>
      </c>
      <c r="B41">
        <v>311</v>
      </c>
      <c r="C41">
        <v>0</v>
      </c>
      <c r="D41" s="1">
        <f>Table4[[#This Row],['# with Full 
Medical Exemption]]/Table4[[#This Row],['# of Students]]</f>
        <v>0</v>
      </c>
      <c r="E41">
        <v>2</v>
      </c>
      <c r="F41" s="1">
        <f>Table4[[#This Row],['# UTD with 
Partial Medical Exemption]]/Table4[[#This Row],['# of Students]]</f>
        <v>6.4308681672025723E-3</v>
      </c>
      <c r="G41">
        <v>5</v>
      </c>
      <c r="H41" s="1">
        <f>Table4[[#This Row],['# with Full 
Religous Exemption]]/Table4[[#This Row],['# of Students]]</f>
        <v>1.607717041800643E-2</v>
      </c>
      <c r="I41">
        <v>0</v>
      </c>
      <c r="J41" s="1">
        <f>Table4[[#This Row],['# UTD with 
Partial Religious Exemption]]/Table4[[#This Row],['# of Students]]</f>
        <v>0</v>
      </c>
    </row>
    <row r="42" spans="1:10" x14ac:dyDescent="0.25">
      <c r="A42" t="s">
        <v>42</v>
      </c>
      <c r="B42">
        <v>1469</v>
      </c>
      <c r="C42">
        <v>1</v>
      </c>
      <c r="D42" s="1">
        <f>Table4[[#This Row],['# with Full 
Medical Exemption]]/Table4[[#This Row],['# of Students]]</f>
        <v>6.8073519400953025E-4</v>
      </c>
      <c r="E42">
        <v>2</v>
      </c>
      <c r="F42" s="1">
        <f>Table4[[#This Row],['# UTD with 
Partial Medical Exemption]]/Table4[[#This Row],['# of Students]]</f>
        <v>1.3614703880190605E-3</v>
      </c>
      <c r="G42">
        <v>14</v>
      </c>
      <c r="H42" s="1">
        <f>Table4[[#This Row],['# with Full 
Religous Exemption]]/Table4[[#This Row],['# of Students]]</f>
        <v>9.5302927161334244E-3</v>
      </c>
      <c r="I42">
        <v>0</v>
      </c>
      <c r="J42" s="1">
        <f>Table4[[#This Row],['# UTD with 
Partial Religious Exemption]]/Table4[[#This Row],['# of Students]]</f>
        <v>0</v>
      </c>
    </row>
    <row r="43" spans="1:10" x14ac:dyDescent="0.25">
      <c r="A43" t="s">
        <v>43</v>
      </c>
      <c r="B43">
        <v>949</v>
      </c>
      <c r="C43">
        <v>0</v>
      </c>
      <c r="D43" s="1">
        <f>Table4[[#This Row],['# with Full 
Medical Exemption]]/Table4[[#This Row],['# of Students]]</f>
        <v>0</v>
      </c>
      <c r="E43">
        <v>2</v>
      </c>
      <c r="F43" s="1">
        <f>Table4[[#This Row],['# UTD with 
Partial Medical Exemption]]/Table4[[#This Row],['# of Students]]</f>
        <v>2.1074815595363539E-3</v>
      </c>
      <c r="G43">
        <v>25</v>
      </c>
      <c r="H43" s="1">
        <f>Table4[[#This Row],['# with Full 
Religous Exemption]]/Table4[[#This Row],['# of Students]]</f>
        <v>2.6343519494204427E-2</v>
      </c>
      <c r="I43">
        <v>0</v>
      </c>
      <c r="J43" s="1">
        <f>Table4[[#This Row],['# UTD with 
Partial Religious Exemption]]/Table4[[#This Row],['# of Students]]</f>
        <v>0</v>
      </c>
    </row>
    <row r="44" spans="1:10" x14ac:dyDescent="0.25">
      <c r="A44" t="s">
        <v>44</v>
      </c>
      <c r="B44">
        <v>108</v>
      </c>
      <c r="C44">
        <v>0</v>
      </c>
      <c r="D44" s="1">
        <f>Table4[[#This Row],['# with Full 
Medical Exemption]]/Table4[[#This Row],['# of Students]]</f>
        <v>0</v>
      </c>
      <c r="E44">
        <v>0</v>
      </c>
      <c r="F44" s="1">
        <f>Table4[[#This Row],['# UTD with 
Partial Medical Exemption]]/Table4[[#This Row],['# of Students]]</f>
        <v>0</v>
      </c>
      <c r="G44">
        <v>0</v>
      </c>
      <c r="H44" s="1">
        <f>Table4[[#This Row],['# with Full 
Religous Exemption]]/Table4[[#This Row],['# of Students]]</f>
        <v>0</v>
      </c>
      <c r="I44">
        <v>0</v>
      </c>
      <c r="J44" s="1">
        <f>Table4[[#This Row],['# UTD with 
Partial Religious Exemption]]/Table4[[#This Row],['# of Students]]</f>
        <v>0</v>
      </c>
    </row>
    <row r="45" spans="1:10" x14ac:dyDescent="0.25">
      <c r="A45" t="s">
        <v>45</v>
      </c>
      <c r="B45">
        <v>83</v>
      </c>
      <c r="C45">
        <v>0</v>
      </c>
      <c r="D45" s="1">
        <f>Table4[[#This Row],['# with Full 
Medical Exemption]]/Table4[[#This Row],['# of Students]]</f>
        <v>0</v>
      </c>
      <c r="E45">
        <v>0</v>
      </c>
      <c r="F45" s="1">
        <f>Table4[[#This Row],['# UTD with 
Partial Medical Exemption]]/Table4[[#This Row],['# of Students]]</f>
        <v>0</v>
      </c>
      <c r="G45">
        <v>2</v>
      </c>
      <c r="H45" s="1">
        <f>Table4[[#This Row],['# with Full 
Religous Exemption]]/Table4[[#This Row],['# of Students]]</f>
        <v>2.4096385542168676E-2</v>
      </c>
      <c r="I45">
        <v>0</v>
      </c>
      <c r="J45" s="1">
        <f>Table4[[#This Row],['# UTD with 
Partial Religious Exemption]]/Table4[[#This Row],['# of Students]]</f>
        <v>0</v>
      </c>
    </row>
    <row r="46" spans="1:10" x14ac:dyDescent="0.25">
      <c r="A46" t="s">
        <v>46</v>
      </c>
      <c r="B46">
        <v>3622</v>
      </c>
      <c r="C46">
        <v>0</v>
      </c>
      <c r="D46" s="1">
        <f>Table4[[#This Row],['# with Full 
Medical Exemption]]/Table4[[#This Row],['# of Students]]</f>
        <v>0</v>
      </c>
      <c r="E46">
        <v>0</v>
      </c>
      <c r="F46" s="1">
        <f>Table4[[#This Row],['# UTD with 
Partial Medical Exemption]]/Table4[[#This Row],['# of Students]]</f>
        <v>0</v>
      </c>
      <c r="G46">
        <v>57</v>
      </c>
      <c r="H46" s="1">
        <f>Table4[[#This Row],['# with Full 
Religous Exemption]]/Table4[[#This Row],['# of Students]]</f>
        <v>1.5737161789066815E-2</v>
      </c>
      <c r="I46">
        <v>0</v>
      </c>
      <c r="J46" s="1">
        <f>Table4[[#This Row],['# UTD with 
Partial Religious Exemption]]/Table4[[#This Row],['# of Students]]</f>
        <v>0</v>
      </c>
    </row>
    <row r="47" spans="1:10" x14ac:dyDescent="0.25">
      <c r="A47" t="s">
        <v>47</v>
      </c>
      <c r="B47">
        <v>227</v>
      </c>
      <c r="C47">
        <v>0</v>
      </c>
      <c r="D47" s="1">
        <f>Table4[[#This Row],['# with Full 
Medical Exemption]]/Table4[[#This Row],['# of Students]]</f>
        <v>0</v>
      </c>
      <c r="E47">
        <v>0</v>
      </c>
      <c r="F47" s="1">
        <f>Table4[[#This Row],['# UTD with 
Partial Medical Exemption]]/Table4[[#This Row],['# of Students]]</f>
        <v>0</v>
      </c>
      <c r="G47">
        <v>2</v>
      </c>
      <c r="H47" s="1">
        <f>Table4[[#This Row],['# with Full 
Religous Exemption]]/Table4[[#This Row],['# of Students]]</f>
        <v>8.8105726872246704E-3</v>
      </c>
      <c r="I47">
        <v>0</v>
      </c>
      <c r="J47" s="1">
        <f>Table4[[#This Row],['# UTD with 
Partial Religious Exemption]]/Table4[[#This Row],['# of Students]]</f>
        <v>0</v>
      </c>
    </row>
    <row r="48" spans="1:10" x14ac:dyDescent="0.25">
      <c r="A48" t="s">
        <v>48</v>
      </c>
      <c r="B48">
        <v>264</v>
      </c>
      <c r="C48">
        <v>0</v>
      </c>
      <c r="D48" s="1">
        <f>Table4[[#This Row],['# with Full 
Medical Exemption]]/Table4[[#This Row],['# of Students]]</f>
        <v>0</v>
      </c>
      <c r="E48">
        <v>0</v>
      </c>
      <c r="F48" s="1">
        <f>Table4[[#This Row],['# UTD with 
Partial Medical Exemption]]/Table4[[#This Row],['# of Students]]</f>
        <v>0</v>
      </c>
      <c r="G48">
        <v>7</v>
      </c>
      <c r="H48" s="1">
        <f>Table4[[#This Row],['# with Full 
Religous Exemption]]/Table4[[#This Row],['# of Students]]</f>
        <v>2.6515151515151516E-2</v>
      </c>
      <c r="I48">
        <v>0</v>
      </c>
      <c r="J48" s="1">
        <f>Table4[[#This Row],['# UTD with 
Partial Religious Exemption]]/Table4[[#This Row],['# of Students]]</f>
        <v>0</v>
      </c>
    </row>
    <row r="49" spans="1:10" x14ac:dyDescent="0.25">
      <c r="A49" t="s">
        <v>49</v>
      </c>
      <c r="B49">
        <v>1099</v>
      </c>
      <c r="C49">
        <v>0</v>
      </c>
      <c r="D49" s="1">
        <f>Table4[[#This Row],['# with Full 
Medical Exemption]]/Table4[[#This Row],['# of Students]]</f>
        <v>0</v>
      </c>
      <c r="E49">
        <v>0</v>
      </c>
      <c r="F49" s="1">
        <f>Table4[[#This Row],['# UTD with 
Partial Medical Exemption]]/Table4[[#This Row],['# of Students]]</f>
        <v>0</v>
      </c>
      <c r="G49">
        <v>16</v>
      </c>
      <c r="H49" s="1">
        <f>Table4[[#This Row],['# with Full 
Religous Exemption]]/Table4[[#This Row],['# of Students]]</f>
        <v>1.4558689717925387E-2</v>
      </c>
      <c r="I49">
        <v>0</v>
      </c>
      <c r="J49" s="1">
        <f>Table4[[#This Row],['# UTD with 
Partial Religious Exemption]]/Table4[[#This Row],['# of Students]]</f>
        <v>0</v>
      </c>
    </row>
    <row r="50" spans="1:10" x14ac:dyDescent="0.25">
      <c r="A50" t="s">
        <v>50</v>
      </c>
      <c r="B50">
        <v>4032</v>
      </c>
      <c r="C50">
        <v>0</v>
      </c>
      <c r="D50" s="1">
        <f>Table4[[#This Row],['# with Full 
Medical Exemption]]/Table4[[#This Row],['# of Students]]</f>
        <v>0</v>
      </c>
      <c r="E50">
        <v>3</v>
      </c>
      <c r="F50" s="1">
        <f>Table4[[#This Row],['# UTD with 
Partial Medical Exemption]]/Table4[[#This Row],['# of Students]]</f>
        <v>7.4404761904761901E-4</v>
      </c>
      <c r="G50">
        <v>96</v>
      </c>
      <c r="H50" s="1">
        <f>Table4[[#This Row],['# with Full 
Religous Exemption]]/Table4[[#This Row],['# of Students]]</f>
        <v>2.3809523809523808E-2</v>
      </c>
      <c r="I50">
        <v>0</v>
      </c>
      <c r="J50" s="1">
        <f>Table4[[#This Row],['# UTD with 
Partial Religious Exemption]]/Table4[[#This Row],['# of Students]]</f>
        <v>0</v>
      </c>
    </row>
    <row r="51" spans="1:10" x14ac:dyDescent="0.25">
      <c r="A51" t="s">
        <v>51</v>
      </c>
      <c r="B51">
        <v>180</v>
      </c>
      <c r="C51">
        <v>0</v>
      </c>
      <c r="D51" s="1">
        <f>Table4[[#This Row],['# with Full 
Medical Exemption]]/Table4[[#This Row],['# of Students]]</f>
        <v>0</v>
      </c>
      <c r="E51">
        <v>0</v>
      </c>
      <c r="F51" s="1">
        <f>Table4[[#This Row],['# UTD with 
Partial Medical Exemption]]/Table4[[#This Row],['# of Students]]</f>
        <v>0</v>
      </c>
      <c r="G51">
        <v>4</v>
      </c>
      <c r="H51" s="1">
        <f>Table4[[#This Row],['# with Full 
Religous Exemption]]/Table4[[#This Row],['# of Students]]</f>
        <v>2.2222222222222223E-2</v>
      </c>
      <c r="I51">
        <v>0</v>
      </c>
      <c r="J51" s="1">
        <f>Table4[[#This Row],['# UTD with 
Partial Religious Exemption]]/Table4[[#This Row],['# of Students]]</f>
        <v>0</v>
      </c>
    </row>
    <row r="52" spans="1:10" x14ac:dyDescent="0.25">
      <c r="A52" t="s">
        <v>52</v>
      </c>
      <c r="B52">
        <v>1685</v>
      </c>
      <c r="C52">
        <v>4</v>
      </c>
      <c r="D52" s="1">
        <f>Table4[[#This Row],['# with Full 
Medical Exemption]]/Table4[[#This Row],['# of Students]]</f>
        <v>2.373887240356083E-3</v>
      </c>
      <c r="E52">
        <v>0</v>
      </c>
      <c r="F52" s="1">
        <f>Table4[[#This Row],['# UTD with 
Partial Medical Exemption]]/Table4[[#This Row],['# of Students]]</f>
        <v>0</v>
      </c>
      <c r="G52">
        <v>33</v>
      </c>
      <c r="H52" s="1">
        <f>Table4[[#This Row],['# with Full 
Religous Exemption]]/Table4[[#This Row],['# of Students]]</f>
        <v>1.9584569732937686E-2</v>
      </c>
      <c r="I52">
        <v>0</v>
      </c>
      <c r="J52" s="1">
        <f>Table4[[#This Row],['# UTD with 
Partial Religious Exemption]]/Table4[[#This Row],['# of Students]]</f>
        <v>0</v>
      </c>
    </row>
    <row r="53" spans="1:10" x14ac:dyDescent="0.25">
      <c r="A53" t="s">
        <v>53</v>
      </c>
      <c r="B53">
        <v>1361</v>
      </c>
      <c r="C53">
        <v>0</v>
      </c>
      <c r="D53" s="1">
        <f>Table4[[#This Row],['# with Full 
Medical Exemption]]/Table4[[#This Row],['# of Students]]</f>
        <v>0</v>
      </c>
      <c r="E53">
        <v>1</v>
      </c>
      <c r="F53" s="1">
        <f>Table4[[#This Row],['# UTD with 
Partial Medical Exemption]]/Table4[[#This Row],['# of Students]]</f>
        <v>7.347538574577516E-4</v>
      </c>
      <c r="G53">
        <v>25</v>
      </c>
      <c r="H53" s="1">
        <f>Table4[[#This Row],['# with Full 
Religous Exemption]]/Table4[[#This Row],['# of Students]]</f>
        <v>1.8368846436443792E-2</v>
      </c>
      <c r="I53">
        <v>0</v>
      </c>
      <c r="J53" s="1">
        <f>Table4[[#This Row],['# UTD with 
Partial Religious Exemption]]/Table4[[#This Row],['# of Students]]</f>
        <v>0</v>
      </c>
    </row>
    <row r="54" spans="1:10" x14ac:dyDescent="0.25">
      <c r="A54" t="s">
        <v>54</v>
      </c>
      <c r="B54">
        <v>55</v>
      </c>
      <c r="C54">
        <v>0</v>
      </c>
      <c r="D54" s="1">
        <f>Table4[[#This Row],['# with Full 
Medical Exemption]]/Table4[[#This Row],['# of Students]]</f>
        <v>0</v>
      </c>
      <c r="E54">
        <v>0</v>
      </c>
      <c r="F54" s="1">
        <f>Table4[[#This Row],['# UTD with 
Partial Medical Exemption]]/Table4[[#This Row],['# of Students]]</f>
        <v>0</v>
      </c>
      <c r="G54">
        <v>0</v>
      </c>
      <c r="H54" s="1">
        <f>Table4[[#This Row],['# with Full 
Religous Exemption]]/Table4[[#This Row],['# of Students]]</f>
        <v>0</v>
      </c>
      <c r="I54">
        <v>0</v>
      </c>
      <c r="J54" s="1">
        <f>Table4[[#This Row],['# UTD with 
Partial Religious Exemption]]/Table4[[#This Row],['# of Students]]</f>
        <v>0</v>
      </c>
    </row>
    <row r="55" spans="1:10" x14ac:dyDescent="0.25">
      <c r="A55" t="s">
        <v>55</v>
      </c>
      <c r="B55">
        <v>109</v>
      </c>
      <c r="C55">
        <v>0</v>
      </c>
      <c r="D55" s="1">
        <f>Table4[[#This Row],['# with Full 
Medical Exemption]]/Table4[[#This Row],['# of Students]]</f>
        <v>0</v>
      </c>
      <c r="E55">
        <v>0</v>
      </c>
      <c r="F55" s="1">
        <f>Table4[[#This Row],['# UTD with 
Partial Medical Exemption]]/Table4[[#This Row],['# of Students]]</f>
        <v>0</v>
      </c>
      <c r="G55">
        <v>1</v>
      </c>
      <c r="H55" s="1">
        <f>Table4[[#This Row],['# with Full 
Religous Exemption]]/Table4[[#This Row],['# of Students]]</f>
        <v>9.1743119266055051E-3</v>
      </c>
      <c r="I55">
        <v>0</v>
      </c>
      <c r="J55" s="1">
        <f>Table4[[#This Row],['# UTD with 
Partial Religious Exemption]]/Table4[[#This Row],['# of Students]]</f>
        <v>0</v>
      </c>
    </row>
    <row r="56" spans="1:10" x14ac:dyDescent="0.25">
      <c r="A56" t="s">
        <v>56</v>
      </c>
      <c r="B56">
        <v>261</v>
      </c>
      <c r="C56">
        <v>1</v>
      </c>
      <c r="D56" s="1">
        <f>Table4[[#This Row],['# with Full 
Medical Exemption]]/Table4[[#This Row],['# of Students]]</f>
        <v>3.8314176245210726E-3</v>
      </c>
      <c r="E56">
        <v>0</v>
      </c>
      <c r="F56" s="1">
        <f>Table4[[#This Row],['# UTD with 
Partial Medical Exemption]]/Table4[[#This Row],['# of Students]]</f>
        <v>0</v>
      </c>
      <c r="G56">
        <v>2</v>
      </c>
      <c r="H56" s="1">
        <f>Table4[[#This Row],['# with Full 
Religous Exemption]]/Table4[[#This Row],['# of Students]]</f>
        <v>7.6628352490421452E-3</v>
      </c>
      <c r="I56">
        <v>0</v>
      </c>
      <c r="J56" s="1">
        <f>Table4[[#This Row],['# UTD with 
Partial Religious Exemption]]/Table4[[#This Row],['# of Students]]</f>
        <v>0</v>
      </c>
    </row>
    <row r="57" spans="1:10" x14ac:dyDescent="0.25">
      <c r="A57" t="s">
        <v>57</v>
      </c>
      <c r="B57">
        <v>215</v>
      </c>
      <c r="C57">
        <v>0</v>
      </c>
      <c r="D57" s="1">
        <f>Table4[[#This Row],['# with Full 
Medical Exemption]]/Table4[[#This Row],['# of Students]]</f>
        <v>0</v>
      </c>
      <c r="E57">
        <v>0</v>
      </c>
      <c r="F57" s="1">
        <f>Table4[[#This Row],['# UTD with 
Partial Medical Exemption]]/Table4[[#This Row],['# of Students]]</f>
        <v>0</v>
      </c>
      <c r="G57">
        <v>3</v>
      </c>
      <c r="H57" s="1">
        <f>Table4[[#This Row],['# with Full 
Religous Exemption]]/Table4[[#This Row],['# of Students]]</f>
        <v>1.3953488372093023E-2</v>
      </c>
      <c r="I57">
        <v>0</v>
      </c>
      <c r="J57" s="1">
        <f>Table4[[#This Row],['# UTD with 
Partial Religious Exemption]]/Table4[[#This Row],['# of Students]]</f>
        <v>0</v>
      </c>
    </row>
    <row r="58" spans="1:10" x14ac:dyDescent="0.25">
      <c r="A58" t="s">
        <v>58</v>
      </c>
      <c r="B58">
        <v>662</v>
      </c>
      <c r="C58">
        <v>0</v>
      </c>
      <c r="D58" s="1">
        <f>Table4[[#This Row],['# with Full 
Medical Exemption]]/Table4[[#This Row],['# of Students]]</f>
        <v>0</v>
      </c>
      <c r="E58">
        <v>0</v>
      </c>
      <c r="F58" s="1">
        <f>Table4[[#This Row],['# UTD with 
Partial Medical Exemption]]/Table4[[#This Row],['# of Students]]</f>
        <v>0</v>
      </c>
      <c r="G58">
        <v>6</v>
      </c>
      <c r="H58" s="1">
        <f>Table4[[#This Row],['# with Full 
Religous Exemption]]/Table4[[#This Row],['# of Students]]</f>
        <v>9.0634441087613302E-3</v>
      </c>
      <c r="I58">
        <v>0</v>
      </c>
      <c r="J58" s="1">
        <f>Table4[[#This Row],['# UTD with 
Partial Religious Exemption]]/Table4[[#This Row],['# of Students]]</f>
        <v>0</v>
      </c>
    </row>
    <row r="59" spans="1:10" x14ac:dyDescent="0.25">
      <c r="A59" t="s">
        <v>59</v>
      </c>
      <c r="B59">
        <v>1795</v>
      </c>
      <c r="C59">
        <v>2</v>
      </c>
      <c r="D59" s="1">
        <f>Table4[[#This Row],['# with Full 
Medical Exemption]]/Table4[[#This Row],['# of Students]]</f>
        <v>1.1142061281337048E-3</v>
      </c>
      <c r="E59">
        <v>3</v>
      </c>
      <c r="F59" s="1">
        <f>Table4[[#This Row],['# UTD with 
Partial Medical Exemption]]/Table4[[#This Row],['# of Students]]</f>
        <v>1.6713091922005571E-3</v>
      </c>
      <c r="G59">
        <v>44</v>
      </c>
      <c r="H59" s="1">
        <f>Table4[[#This Row],['# with Full 
Religous Exemption]]/Table4[[#This Row],['# of Students]]</f>
        <v>2.4512534818941504E-2</v>
      </c>
      <c r="I59">
        <v>0</v>
      </c>
      <c r="J59" s="1">
        <f>Table4[[#This Row],['# UTD with 
Partial Religious Exemption]]/Table4[[#This Row],['# of Students]]</f>
        <v>0</v>
      </c>
    </row>
    <row r="60" spans="1:10" x14ac:dyDescent="0.25">
      <c r="A60" t="s">
        <v>69</v>
      </c>
      <c r="B60">
        <v>872</v>
      </c>
      <c r="C60">
        <v>3</v>
      </c>
      <c r="D60" s="1">
        <f>Table4[[#This Row],['# with Full 
Medical Exemption]]/Table4[[#This Row],['# of Students]]</f>
        <v>3.4403669724770644E-3</v>
      </c>
      <c r="E60">
        <v>0</v>
      </c>
      <c r="F60" s="1">
        <f>Table4[[#This Row],['# UTD with 
Partial Medical Exemption]]/Table4[[#This Row],['# of Students]]</f>
        <v>0</v>
      </c>
      <c r="G60">
        <v>29</v>
      </c>
      <c r="H60" s="1">
        <f>Table4[[#This Row],['# with Full 
Religous Exemption]]/Table4[[#This Row],['# of Students]]</f>
        <v>3.3256880733944956E-2</v>
      </c>
      <c r="I60">
        <v>0</v>
      </c>
      <c r="J60" s="1">
        <f>Table4[[#This Row],['# UTD with 
Partial Religious Exemption]]/Table4[[#This Row],['# of Students]]</f>
        <v>0</v>
      </c>
    </row>
    <row r="61" spans="1:10" x14ac:dyDescent="0.25">
      <c r="A61" t="s">
        <v>61</v>
      </c>
      <c r="B61">
        <v>60</v>
      </c>
      <c r="C61">
        <v>0</v>
      </c>
      <c r="D61" s="1">
        <f>Table4[[#This Row],['# with Full 
Medical Exemption]]/Table4[[#This Row],['# of Students]]</f>
        <v>0</v>
      </c>
      <c r="E61">
        <v>0</v>
      </c>
      <c r="F61" s="1">
        <f>Table4[[#This Row],['# UTD with 
Partial Medical Exemption]]/Table4[[#This Row],['# of Students]]</f>
        <v>0</v>
      </c>
      <c r="G61">
        <v>1</v>
      </c>
      <c r="H61" s="1">
        <f>Table4[[#This Row],['# with Full 
Religous Exemption]]/Table4[[#This Row],['# of Students]]</f>
        <v>1.6666666666666666E-2</v>
      </c>
      <c r="I61">
        <v>0</v>
      </c>
      <c r="J61" s="1">
        <f>Table4[[#This Row],['# UTD with 
Partial Religious Exemption]]/Table4[[#This Row],['# of Students]]</f>
        <v>0</v>
      </c>
    </row>
    <row r="62" spans="1:10" x14ac:dyDescent="0.25">
      <c r="A62" t="s">
        <v>62</v>
      </c>
      <c r="B62">
        <v>650</v>
      </c>
      <c r="C62">
        <v>1</v>
      </c>
      <c r="D62" s="1">
        <f>Table4[[#This Row],['# with Full 
Medical Exemption]]/Table4[[#This Row],['# of Students]]</f>
        <v>1.5384615384615385E-3</v>
      </c>
      <c r="E62">
        <v>1</v>
      </c>
      <c r="F62" s="1">
        <f>Table4[[#This Row],['# UTD with 
Partial Medical Exemption]]/Table4[[#This Row],['# of Students]]</f>
        <v>1.5384615384615385E-3</v>
      </c>
      <c r="G62">
        <v>8</v>
      </c>
      <c r="H62" s="1">
        <f>Table4[[#This Row],['# with Full 
Religous Exemption]]/Table4[[#This Row],['# of Students]]</f>
        <v>1.2307692307692308E-2</v>
      </c>
      <c r="I62">
        <v>0</v>
      </c>
      <c r="J62" s="1">
        <f>Table4[[#This Row],['# UTD with 
Partial Religious Exemption]]/Table4[[#This Row],['# of Students]]</f>
        <v>0</v>
      </c>
    </row>
    <row r="63" spans="1:10" x14ac:dyDescent="0.25">
      <c r="A63" t="s">
        <v>63</v>
      </c>
      <c r="B63">
        <v>426</v>
      </c>
      <c r="C63">
        <v>0</v>
      </c>
      <c r="D63" s="1">
        <f>Table4[[#This Row],['# with Full 
Medical Exemption]]/Table4[[#This Row],['# of Students]]</f>
        <v>0</v>
      </c>
      <c r="E63">
        <v>0</v>
      </c>
      <c r="F63" s="1">
        <f>Table4[[#This Row],['# UTD with 
Partial Medical Exemption]]/Table4[[#This Row],['# of Students]]</f>
        <v>0</v>
      </c>
      <c r="G63">
        <v>4</v>
      </c>
      <c r="H63" s="1">
        <f>Table4[[#This Row],['# with Full 
Religous Exemption]]/Table4[[#This Row],['# of Students]]</f>
        <v>9.3896713615023476E-3</v>
      </c>
      <c r="I63">
        <v>0</v>
      </c>
      <c r="J63" s="1">
        <f>Table4[[#This Row],['# UTD with 
Partial Religious Exemption]]/Table4[[#This Row],['# of Students]]</f>
        <v>0</v>
      </c>
    </row>
    <row r="64" spans="1:10" x14ac:dyDescent="0.25">
      <c r="A64" t="s">
        <v>64</v>
      </c>
      <c r="B64">
        <v>2228</v>
      </c>
      <c r="C64">
        <v>1</v>
      </c>
      <c r="D64" s="1">
        <f>Table4[[#This Row],['# with Full 
Medical Exemption]]/Table4[[#This Row],['# of Students]]</f>
        <v>4.4883303411131061E-4</v>
      </c>
      <c r="E64">
        <v>2</v>
      </c>
      <c r="F64" s="1">
        <f>Table4[[#This Row],['# UTD with 
Partial Medical Exemption]]/Table4[[#This Row],['# of Students]]</f>
        <v>8.9766606822262122E-4</v>
      </c>
      <c r="G64">
        <v>33</v>
      </c>
      <c r="H64" s="1">
        <f>Table4[[#This Row],['# with Full 
Religous Exemption]]/Table4[[#This Row],['# of Students]]</f>
        <v>1.481149012567325E-2</v>
      </c>
      <c r="I64">
        <v>0</v>
      </c>
      <c r="J64" s="1">
        <f>Table4[[#This Row],['# UTD with 
Partial Religious Exemption]]/Table4[[#This Row],['# of Students]]</f>
        <v>0</v>
      </c>
    </row>
    <row r="65" spans="1:10" x14ac:dyDescent="0.25">
      <c r="A65" t="s">
        <v>65</v>
      </c>
      <c r="B65">
        <v>712</v>
      </c>
      <c r="C65">
        <v>1</v>
      </c>
      <c r="D65" s="1">
        <f>Table4[[#This Row],['# with Full 
Medical Exemption]]/Table4[[#This Row],['# of Students]]</f>
        <v>1.4044943820224719E-3</v>
      </c>
      <c r="E65">
        <v>0</v>
      </c>
      <c r="F65" s="1">
        <f>Table4[[#This Row],['# UTD with 
Partial Medical Exemption]]/Table4[[#This Row],['# of Students]]</f>
        <v>0</v>
      </c>
      <c r="G65">
        <v>22</v>
      </c>
      <c r="H65" s="1">
        <f>Table4[[#This Row],['# with Full 
Religous Exemption]]/Table4[[#This Row],['# of Students]]</f>
        <v>3.0898876404494381E-2</v>
      </c>
      <c r="I65">
        <v>0</v>
      </c>
      <c r="J65" s="1">
        <f>Table4[[#This Row],['# UTD with 
Partial Religious Exemption]]/Table4[[#This Row],['# of Students]]</f>
        <v>0</v>
      </c>
    </row>
    <row r="66" spans="1:10" x14ac:dyDescent="0.25">
      <c r="A66" t="s">
        <v>66</v>
      </c>
      <c r="B66">
        <v>160</v>
      </c>
      <c r="C66">
        <v>0</v>
      </c>
      <c r="D66" s="1">
        <f>Table4[[#This Row],['# with Full 
Medical Exemption]]/Table4[[#This Row],['# of Students]]</f>
        <v>0</v>
      </c>
      <c r="E66">
        <v>0</v>
      </c>
      <c r="F66" s="1">
        <f>Table4[[#This Row],['# UTD with 
Partial Medical Exemption]]/Table4[[#This Row],['# of Students]]</f>
        <v>0</v>
      </c>
      <c r="G66">
        <v>0</v>
      </c>
      <c r="H66" s="1">
        <f>Table4[[#This Row],['# with Full 
Religous Exemption]]/Table4[[#This Row],['# of Students]]</f>
        <v>0</v>
      </c>
      <c r="I66">
        <v>0</v>
      </c>
      <c r="J66" s="1">
        <f>Table4[[#This Row],['# UTD with 
Partial Religious Exemption]]/Table4[[#This Row],['# of Students]]</f>
        <v>0</v>
      </c>
    </row>
    <row r="67" spans="1:10" x14ac:dyDescent="0.25">
      <c r="A67" t="s">
        <v>67</v>
      </c>
      <c r="B67">
        <v>74</v>
      </c>
      <c r="C67">
        <v>0</v>
      </c>
      <c r="D67" s="1">
        <f>Table4[[#This Row],['# with Full 
Medical Exemption]]/Table4[[#This Row],['# of Students]]</f>
        <v>0</v>
      </c>
      <c r="E67">
        <v>0</v>
      </c>
      <c r="F67" s="1">
        <f>Table4[[#This Row],['# UTD with 
Partial Medical Exemption]]/Table4[[#This Row],['# of Students]]</f>
        <v>0</v>
      </c>
      <c r="G67">
        <v>0</v>
      </c>
      <c r="H67" s="1">
        <f>Table4[[#This Row],['# with Full 
Religous Exemption]]/Table4[[#This Row],['# of Students]]</f>
        <v>0</v>
      </c>
      <c r="I67">
        <v>0</v>
      </c>
      <c r="J67" s="1">
        <f>Table4[[#This Row],['# UTD with 
Partial Religious Exemption]]/Table4[[#This Row],['# of Students]]</f>
        <v>0</v>
      </c>
    </row>
    <row r="68" spans="1:10" x14ac:dyDescent="0.25">
      <c r="A68" t="s">
        <v>68</v>
      </c>
      <c r="B68">
        <v>289</v>
      </c>
      <c r="C68">
        <v>0</v>
      </c>
      <c r="D68" s="1">
        <f>Table4[[#This Row],['# with Full 
Medical Exemption]]/Table4[[#This Row],['# of Students]]</f>
        <v>0</v>
      </c>
      <c r="E68">
        <v>1</v>
      </c>
      <c r="F68" s="1">
        <f>Table4[[#This Row],['# UTD with 
Partial Medical Exemption]]/Table4[[#This Row],['# of Students]]</f>
        <v>3.4602076124567475E-3</v>
      </c>
      <c r="G68">
        <v>6</v>
      </c>
      <c r="H68" s="1">
        <f>Table4[[#This Row],['# with Full 
Religous Exemption]]/Table4[[#This Row],['# of Students]]</f>
        <v>2.0761245674740483E-2</v>
      </c>
      <c r="I68">
        <v>0</v>
      </c>
      <c r="J68" s="1">
        <f>Table4[[#This Row],['# UTD with 
Partial Religious Exemption]]/Table4[[#This Row],['# of Students]]</f>
        <v>0</v>
      </c>
    </row>
    <row r="69" spans="1:10" x14ac:dyDescent="0.25">
      <c r="B69">
        <f t="shared" ref="B69:I69" si="0">SUBTOTAL(109,B2:B68)</f>
        <v>47217</v>
      </c>
      <c r="C69">
        <f t="shared" si="0"/>
        <v>26</v>
      </c>
      <c r="D69" s="1">
        <f>Table4[[#Totals],['# with Full 
Medical Exemption]]/Table4[[#Totals],['# of Students]]</f>
        <v>5.5064913060973804E-4</v>
      </c>
      <c r="E69">
        <f t="shared" si="0"/>
        <v>35</v>
      </c>
      <c r="F69" s="1">
        <f>Table4[[#Totals],['# UTD with 
Partial Medical Exemption]]/Table4[[#Totals],['# of Students]]</f>
        <v>7.4125844505157042E-4</v>
      </c>
      <c r="G69">
        <f t="shared" si="0"/>
        <v>938</v>
      </c>
      <c r="H69" s="1">
        <f>Table4[[#Totals],['# with Full 
Religous Exemption]]/Table4[[#Totals],['# of Students]]</f>
        <v>1.9865726327382087E-2</v>
      </c>
      <c r="I69">
        <f t="shared" si="0"/>
        <v>3</v>
      </c>
      <c r="J69" s="1">
        <f>Table4[[#Totals],['# UTD with 
Partial Religious Exemption]]/Table4[[#Totals],['# of Students]]</f>
        <v>6.3536438147277462E-5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65E7-DC32-4636-BC1D-6F321121B23F}">
  <dimension ref="A1:J69"/>
  <sheetViews>
    <sheetView workbookViewId="0">
      <selection activeCell="D23" sqref="D23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1" bestFit="1" customWidth="1"/>
    <col min="5" max="5" width="27" bestFit="1" customWidth="1"/>
    <col min="6" max="6" width="25.85546875" style="1" bestFit="1" customWidth="1"/>
    <col min="7" max="7" width="21.140625" bestFit="1" customWidth="1"/>
    <col min="8" max="8" width="21.140625" style="1" bestFit="1" customWidth="1"/>
    <col min="9" max="9" width="28.140625" bestFit="1" customWidth="1"/>
    <col min="10" max="10" width="28.140625" style="1" bestFit="1" customWidth="1"/>
  </cols>
  <sheetData>
    <row r="1" spans="1:10" ht="30" x14ac:dyDescent="0.25">
      <c r="A1" t="s">
        <v>0</v>
      </c>
      <c r="B1" t="s">
        <v>1</v>
      </c>
      <c r="C1" s="3" t="s">
        <v>70</v>
      </c>
      <c r="D1" s="4" t="s">
        <v>71</v>
      </c>
      <c r="E1" s="3" t="s">
        <v>72</v>
      </c>
      <c r="F1" s="4" t="s">
        <v>75</v>
      </c>
      <c r="G1" s="3" t="s">
        <v>76</v>
      </c>
      <c r="H1" s="4" t="s">
        <v>77</v>
      </c>
      <c r="I1" s="3" t="s">
        <v>73</v>
      </c>
      <c r="J1" s="4" t="s">
        <v>74</v>
      </c>
    </row>
    <row r="2" spans="1:10" x14ac:dyDescent="0.25">
      <c r="A2" t="s">
        <v>2</v>
      </c>
      <c r="B2">
        <v>631</v>
      </c>
      <c r="C2">
        <v>1</v>
      </c>
      <c r="D2" s="1">
        <f>Table5[[#This Row],['# with Full 
Medical Exemption]]/Table5[[#This Row],['# of Students]]</f>
        <v>1.5847860538827259E-3</v>
      </c>
      <c r="E2">
        <v>0</v>
      </c>
      <c r="F2" s="1">
        <f>Table5[[#This Row],['# UTD with 
Partial Medical Exemption]]/Table5[[#This Row],['# of Students]]</f>
        <v>0</v>
      </c>
      <c r="G2">
        <v>18</v>
      </c>
      <c r="H2" s="1">
        <f>Table5[[#This Row],['# with Full 
Religous Exemption]]/Table5[[#This Row],['# of Students]]</f>
        <v>2.8526148969889066E-2</v>
      </c>
      <c r="I2">
        <v>0</v>
      </c>
      <c r="J2" s="1">
        <f>Table5[[#This Row],['# UTD with 
Partial Religious Exemption]]/Table5[[#This Row],['# of Students]]</f>
        <v>0</v>
      </c>
    </row>
    <row r="3" spans="1:10" x14ac:dyDescent="0.25">
      <c r="A3" t="s">
        <v>3</v>
      </c>
      <c r="B3">
        <v>2745</v>
      </c>
      <c r="C3">
        <v>1</v>
      </c>
      <c r="D3" s="1">
        <f>Table5[[#This Row],['# with Full 
Medical Exemption]]/Table5[[#This Row],['# of Students]]</f>
        <v>3.6429872495446266E-4</v>
      </c>
      <c r="E3">
        <v>0</v>
      </c>
      <c r="F3" s="1">
        <f>Table5[[#This Row],['# UTD with 
Partial Medical Exemption]]/Table5[[#This Row],['# of Students]]</f>
        <v>0</v>
      </c>
      <c r="G3">
        <v>118</v>
      </c>
      <c r="H3" s="1">
        <f>Table5[[#This Row],['# with Full 
Religous Exemption]]/Table5[[#This Row],['# of Students]]</f>
        <v>4.2987249544626592E-2</v>
      </c>
      <c r="I3">
        <v>0</v>
      </c>
      <c r="J3" s="1">
        <f>Table5[[#This Row],['# UTD with 
Partial Religious Exemption]]/Table5[[#This Row],['# of Students]]</f>
        <v>0</v>
      </c>
    </row>
    <row r="4" spans="1:10" x14ac:dyDescent="0.25">
      <c r="A4" t="s">
        <v>4</v>
      </c>
      <c r="B4">
        <v>345</v>
      </c>
      <c r="C4">
        <v>0</v>
      </c>
      <c r="D4" s="1">
        <f>Table5[[#This Row],['# with Full 
Medical Exemption]]/Table5[[#This Row],['# of Students]]</f>
        <v>0</v>
      </c>
      <c r="E4">
        <v>0</v>
      </c>
      <c r="F4" s="1">
        <f>Table5[[#This Row],['# UTD with 
Partial Medical Exemption]]/Table5[[#This Row],['# of Students]]</f>
        <v>0</v>
      </c>
      <c r="G4">
        <v>7</v>
      </c>
      <c r="H4" s="1">
        <f>Table5[[#This Row],['# with Full 
Religous Exemption]]/Table5[[#This Row],['# of Students]]</f>
        <v>2.0289855072463767E-2</v>
      </c>
      <c r="I4">
        <v>0</v>
      </c>
      <c r="J4" s="1">
        <f>Table5[[#This Row],['# UTD with 
Partial Religious Exemption]]/Table5[[#This Row],['# of Students]]</f>
        <v>0</v>
      </c>
    </row>
    <row r="5" spans="1:10" x14ac:dyDescent="0.25">
      <c r="A5" t="s">
        <v>5</v>
      </c>
      <c r="B5">
        <v>221</v>
      </c>
      <c r="C5">
        <v>0</v>
      </c>
      <c r="D5" s="1">
        <f>Table5[[#This Row],['# with Full 
Medical Exemption]]/Table5[[#This Row],['# of Students]]</f>
        <v>0</v>
      </c>
      <c r="E5">
        <v>0</v>
      </c>
      <c r="F5" s="1">
        <f>Table5[[#This Row],['# UTD with 
Partial Medical Exemption]]/Table5[[#This Row],['# of Students]]</f>
        <v>0</v>
      </c>
      <c r="G5">
        <v>4</v>
      </c>
      <c r="H5" s="1">
        <f>Table5[[#This Row],['# with Full 
Religous Exemption]]/Table5[[#This Row],['# of Students]]</f>
        <v>1.8099547511312219E-2</v>
      </c>
      <c r="I5">
        <v>0</v>
      </c>
      <c r="J5" s="1">
        <f>Table5[[#This Row],['# UTD with 
Partial Religious Exemption]]/Table5[[#This Row],['# of Students]]</f>
        <v>0</v>
      </c>
    </row>
    <row r="6" spans="1:10" x14ac:dyDescent="0.25">
      <c r="A6" t="s">
        <v>6</v>
      </c>
      <c r="B6">
        <v>661</v>
      </c>
      <c r="C6">
        <v>0</v>
      </c>
      <c r="D6" s="1">
        <f>Table5[[#This Row],['# with Full 
Medical Exemption]]/Table5[[#This Row],['# of Students]]</f>
        <v>0</v>
      </c>
      <c r="E6">
        <v>1</v>
      </c>
      <c r="F6" s="1">
        <f>Table5[[#This Row],['# UTD with 
Partial Medical Exemption]]/Table5[[#This Row],['# of Students]]</f>
        <v>1.5128593040847202E-3</v>
      </c>
      <c r="G6">
        <v>12</v>
      </c>
      <c r="H6" s="1">
        <f>Table5[[#This Row],['# with Full 
Religous Exemption]]/Table5[[#This Row],['# of Students]]</f>
        <v>1.8154311649016642E-2</v>
      </c>
      <c r="I6">
        <v>0</v>
      </c>
      <c r="J6" s="1">
        <f>Table5[[#This Row],['# UTD with 
Partial Religious Exemption]]/Table5[[#This Row],['# of Students]]</f>
        <v>0</v>
      </c>
    </row>
    <row r="7" spans="1:10" x14ac:dyDescent="0.25">
      <c r="A7" t="s">
        <v>7</v>
      </c>
      <c r="B7">
        <v>78</v>
      </c>
      <c r="C7">
        <v>0</v>
      </c>
      <c r="D7" s="1">
        <f>Table5[[#This Row],['# with Full 
Medical Exemption]]/Table5[[#This Row],['# of Students]]</f>
        <v>0</v>
      </c>
      <c r="E7">
        <v>0</v>
      </c>
      <c r="F7" s="1">
        <f>Table5[[#This Row],['# UTD with 
Partial Medical Exemption]]/Table5[[#This Row],['# of Students]]</f>
        <v>0</v>
      </c>
      <c r="G7">
        <v>0</v>
      </c>
      <c r="H7" s="1">
        <f>Table5[[#This Row],['# with Full 
Religous Exemption]]/Table5[[#This Row],['# of Students]]</f>
        <v>0</v>
      </c>
      <c r="I7">
        <v>0</v>
      </c>
      <c r="J7" s="1">
        <f>Table5[[#This Row],['# UTD with 
Partial Religious Exemption]]/Table5[[#This Row],['# of Students]]</f>
        <v>0</v>
      </c>
    </row>
    <row r="8" spans="1:10" x14ac:dyDescent="0.25">
      <c r="A8" t="s">
        <v>8</v>
      </c>
      <c r="B8">
        <v>231</v>
      </c>
      <c r="C8">
        <v>0</v>
      </c>
      <c r="D8" s="1">
        <f>Table5[[#This Row],['# with Full 
Medical Exemption]]/Table5[[#This Row],['# of Students]]</f>
        <v>0</v>
      </c>
      <c r="E8">
        <v>0</v>
      </c>
      <c r="F8" s="1">
        <f>Table5[[#This Row],['# UTD with 
Partial Medical Exemption]]/Table5[[#This Row],['# of Students]]</f>
        <v>0</v>
      </c>
      <c r="G8">
        <v>3</v>
      </c>
      <c r="H8" s="1">
        <f>Table5[[#This Row],['# with Full 
Religous Exemption]]/Table5[[#This Row],['# of Students]]</f>
        <v>1.2987012987012988E-2</v>
      </c>
      <c r="I8">
        <v>0</v>
      </c>
      <c r="J8" s="1">
        <f>Table5[[#This Row],['# UTD with 
Partial Religious Exemption]]/Table5[[#This Row],['# of Students]]</f>
        <v>0</v>
      </c>
    </row>
    <row r="9" spans="1:10" x14ac:dyDescent="0.25">
      <c r="A9" t="s">
        <v>9</v>
      </c>
      <c r="B9">
        <v>1198</v>
      </c>
      <c r="C9">
        <v>1</v>
      </c>
      <c r="D9" s="1">
        <f>Table5[[#This Row],['# with Full 
Medical Exemption]]/Table5[[#This Row],['# of Students]]</f>
        <v>8.3472454090150253E-4</v>
      </c>
      <c r="E9">
        <v>1</v>
      </c>
      <c r="F9" s="1">
        <f>Table5[[#This Row],['# UTD with 
Partial Medical Exemption]]/Table5[[#This Row],['# of Students]]</f>
        <v>8.3472454090150253E-4</v>
      </c>
      <c r="G9">
        <v>28</v>
      </c>
      <c r="H9" s="1">
        <f>Table5[[#This Row],['# with Full 
Religous Exemption]]/Table5[[#This Row],['# of Students]]</f>
        <v>2.337228714524207E-2</v>
      </c>
      <c r="I9">
        <v>0</v>
      </c>
      <c r="J9" s="1">
        <f>Table5[[#This Row],['# UTD with 
Partial Religious Exemption]]/Table5[[#This Row],['# of Students]]</f>
        <v>0</v>
      </c>
    </row>
    <row r="10" spans="1:10" x14ac:dyDescent="0.25">
      <c r="A10" t="s">
        <v>10</v>
      </c>
      <c r="B10">
        <v>308</v>
      </c>
      <c r="C10">
        <v>0</v>
      </c>
      <c r="D10" s="1">
        <f>Table5[[#This Row],['# with Full 
Medical Exemption]]/Table5[[#This Row],['# of Students]]</f>
        <v>0</v>
      </c>
      <c r="E10">
        <v>0</v>
      </c>
      <c r="F10" s="1">
        <f>Table5[[#This Row],['# UTD with 
Partial Medical Exemption]]/Table5[[#This Row],['# of Students]]</f>
        <v>0</v>
      </c>
      <c r="G10">
        <v>2</v>
      </c>
      <c r="H10" s="1">
        <f>Table5[[#This Row],['# with Full 
Religous Exemption]]/Table5[[#This Row],['# of Students]]</f>
        <v>6.4935064935064939E-3</v>
      </c>
      <c r="I10">
        <v>0</v>
      </c>
      <c r="J10" s="1">
        <f>Table5[[#This Row],['# UTD with 
Partial Religious Exemption]]/Table5[[#This Row],['# of Students]]</f>
        <v>0</v>
      </c>
    </row>
    <row r="11" spans="1:10" x14ac:dyDescent="0.25">
      <c r="A11" t="s">
        <v>11</v>
      </c>
      <c r="B11">
        <v>283</v>
      </c>
      <c r="C11">
        <v>0</v>
      </c>
      <c r="D11" s="1">
        <f>Table5[[#This Row],['# with Full 
Medical Exemption]]/Table5[[#This Row],['# of Students]]</f>
        <v>0</v>
      </c>
      <c r="E11">
        <v>0</v>
      </c>
      <c r="F11" s="1">
        <f>Table5[[#This Row],['# UTD with 
Partial Medical Exemption]]/Table5[[#This Row],['# of Students]]</f>
        <v>0</v>
      </c>
      <c r="G11">
        <v>7</v>
      </c>
      <c r="H11" s="1">
        <f>Table5[[#This Row],['# with Full 
Religous Exemption]]/Table5[[#This Row],['# of Students]]</f>
        <v>2.4734982332155476E-2</v>
      </c>
      <c r="I11">
        <v>0</v>
      </c>
      <c r="J11" s="1">
        <f>Table5[[#This Row],['# UTD with 
Partial Religious Exemption]]/Table5[[#This Row],['# of Students]]</f>
        <v>0</v>
      </c>
    </row>
    <row r="12" spans="1:10" x14ac:dyDescent="0.25">
      <c r="A12" t="s">
        <v>12</v>
      </c>
      <c r="B12">
        <v>444</v>
      </c>
      <c r="C12">
        <v>1</v>
      </c>
      <c r="D12" s="1">
        <f>Table5[[#This Row],['# with Full 
Medical Exemption]]/Table5[[#This Row],['# of Students]]</f>
        <v>2.2522522522522522E-3</v>
      </c>
      <c r="E12">
        <v>0</v>
      </c>
      <c r="F12" s="1">
        <f>Table5[[#This Row],['# UTD with 
Partial Medical Exemption]]/Table5[[#This Row],['# of Students]]</f>
        <v>0</v>
      </c>
      <c r="G12">
        <v>7</v>
      </c>
      <c r="H12" s="1">
        <f>Table5[[#This Row],['# with Full 
Religous Exemption]]/Table5[[#This Row],['# of Students]]</f>
        <v>1.5765765765765764E-2</v>
      </c>
      <c r="I12">
        <v>0</v>
      </c>
      <c r="J12" s="1">
        <f>Table5[[#This Row],['# UTD with 
Partial Religious Exemption]]/Table5[[#This Row],['# of Students]]</f>
        <v>0</v>
      </c>
    </row>
    <row r="13" spans="1:10" x14ac:dyDescent="0.25">
      <c r="A13" t="s">
        <v>13</v>
      </c>
      <c r="B13">
        <v>117</v>
      </c>
      <c r="C13">
        <v>0</v>
      </c>
      <c r="D13" s="1">
        <f>Table5[[#This Row],['# with Full 
Medical Exemption]]/Table5[[#This Row],['# of Students]]</f>
        <v>0</v>
      </c>
      <c r="E13">
        <v>0</v>
      </c>
      <c r="F13" s="1">
        <f>Table5[[#This Row],['# UTD with 
Partial Medical Exemption]]/Table5[[#This Row],['# of Students]]</f>
        <v>0</v>
      </c>
      <c r="G13">
        <v>0</v>
      </c>
      <c r="H13" s="1">
        <f>Table5[[#This Row],['# with Full 
Religous Exemption]]/Table5[[#This Row],['# of Students]]</f>
        <v>0</v>
      </c>
      <c r="I13">
        <v>0</v>
      </c>
      <c r="J13" s="1">
        <f>Table5[[#This Row],['# UTD with 
Partial Religious Exemption]]/Table5[[#This Row],['# of Students]]</f>
        <v>0</v>
      </c>
    </row>
    <row r="14" spans="1:10" x14ac:dyDescent="0.25">
      <c r="A14" t="s">
        <v>14</v>
      </c>
      <c r="B14">
        <v>277</v>
      </c>
      <c r="C14">
        <v>0</v>
      </c>
      <c r="D14" s="1">
        <f>Table5[[#This Row],['# with Full 
Medical Exemption]]/Table5[[#This Row],['# of Students]]</f>
        <v>0</v>
      </c>
      <c r="E14">
        <v>0</v>
      </c>
      <c r="F14" s="1">
        <f>Table5[[#This Row],['# UTD with 
Partial Medical Exemption]]/Table5[[#This Row],['# of Students]]</f>
        <v>0</v>
      </c>
      <c r="G14">
        <v>2</v>
      </c>
      <c r="H14" s="1">
        <f>Table5[[#This Row],['# with Full 
Religous Exemption]]/Table5[[#This Row],['# of Students]]</f>
        <v>7.2202166064981952E-3</v>
      </c>
      <c r="I14">
        <v>0</v>
      </c>
      <c r="J14" s="1">
        <f>Table5[[#This Row],['# UTD with 
Partial Religious Exemption]]/Table5[[#This Row],['# of Students]]</f>
        <v>0</v>
      </c>
    </row>
    <row r="15" spans="1:10" x14ac:dyDescent="0.25">
      <c r="A15" t="s">
        <v>15</v>
      </c>
      <c r="B15">
        <v>195</v>
      </c>
      <c r="C15">
        <v>0</v>
      </c>
      <c r="D15" s="1">
        <f>Table5[[#This Row],['# with Full 
Medical Exemption]]/Table5[[#This Row],['# of Students]]</f>
        <v>0</v>
      </c>
      <c r="E15">
        <v>0</v>
      </c>
      <c r="F15" s="1">
        <f>Table5[[#This Row],['# UTD with 
Partial Medical Exemption]]/Table5[[#This Row],['# of Students]]</f>
        <v>0</v>
      </c>
      <c r="G15">
        <v>3</v>
      </c>
      <c r="H15" s="1">
        <f>Table5[[#This Row],['# with Full 
Religous Exemption]]/Table5[[#This Row],['# of Students]]</f>
        <v>1.5384615384615385E-2</v>
      </c>
      <c r="I15">
        <v>0</v>
      </c>
      <c r="J15" s="1">
        <f>Table5[[#This Row],['# UTD with 
Partial Religious Exemption]]/Table5[[#This Row],['# of Students]]</f>
        <v>0</v>
      </c>
    </row>
    <row r="16" spans="1:10" x14ac:dyDescent="0.25">
      <c r="A16" t="s">
        <v>16</v>
      </c>
      <c r="B16">
        <v>220</v>
      </c>
      <c r="C16">
        <v>0</v>
      </c>
      <c r="D16" s="1">
        <f>Table5[[#This Row],['# with Full 
Medical Exemption]]/Table5[[#This Row],['# of Students]]</f>
        <v>0</v>
      </c>
      <c r="E16">
        <v>0</v>
      </c>
      <c r="F16" s="1">
        <f>Table5[[#This Row],['# UTD with 
Partial Medical Exemption]]/Table5[[#This Row],['# of Students]]</f>
        <v>0</v>
      </c>
      <c r="G16">
        <v>13</v>
      </c>
      <c r="H16" s="1">
        <f>Table5[[#This Row],['# with Full 
Religous Exemption]]/Table5[[#This Row],['# of Students]]</f>
        <v>5.909090909090909E-2</v>
      </c>
      <c r="I16">
        <v>0</v>
      </c>
      <c r="J16" s="1">
        <f>Table5[[#This Row],['# UTD with 
Partial Religious Exemption]]/Table5[[#This Row],['# of Students]]</f>
        <v>0</v>
      </c>
    </row>
    <row r="17" spans="1:10" x14ac:dyDescent="0.25">
      <c r="A17" t="s">
        <v>17</v>
      </c>
      <c r="B17">
        <v>668</v>
      </c>
      <c r="C17">
        <v>1</v>
      </c>
      <c r="D17" s="1">
        <f>Table5[[#This Row],['# with Full 
Medical Exemption]]/Table5[[#This Row],['# of Students]]</f>
        <v>1.4970059880239522E-3</v>
      </c>
      <c r="E17">
        <v>0</v>
      </c>
      <c r="F17" s="1">
        <f>Table5[[#This Row],['# UTD with 
Partial Medical Exemption]]/Table5[[#This Row],['# of Students]]</f>
        <v>0</v>
      </c>
      <c r="G17">
        <v>26</v>
      </c>
      <c r="H17" s="1">
        <f>Table5[[#This Row],['# with Full 
Religous Exemption]]/Table5[[#This Row],['# of Students]]</f>
        <v>3.8922155688622756E-2</v>
      </c>
      <c r="I17">
        <v>0</v>
      </c>
      <c r="J17" s="1">
        <f>Table5[[#This Row],['# UTD with 
Partial Religious Exemption]]/Table5[[#This Row],['# of Students]]</f>
        <v>0</v>
      </c>
    </row>
    <row r="18" spans="1:10" x14ac:dyDescent="0.25">
      <c r="A18" t="s">
        <v>18</v>
      </c>
      <c r="B18">
        <v>574</v>
      </c>
      <c r="C18">
        <v>0</v>
      </c>
      <c r="D18" s="1">
        <f>Table5[[#This Row],['# with Full 
Medical Exemption]]/Table5[[#This Row],['# of Students]]</f>
        <v>0</v>
      </c>
      <c r="E18">
        <v>0</v>
      </c>
      <c r="F18" s="1">
        <f>Table5[[#This Row],['# UTD with 
Partial Medical Exemption]]/Table5[[#This Row],['# of Students]]</f>
        <v>0</v>
      </c>
      <c r="G18">
        <v>11</v>
      </c>
      <c r="H18" s="1">
        <f>Table5[[#This Row],['# with Full 
Religous Exemption]]/Table5[[#This Row],['# of Students]]</f>
        <v>1.9163763066202089E-2</v>
      </c>
      <c r="I18">
        <v>0</v>
      </c>
      <c r="J18" s="1">
        <f>Table5[[#This Row],['# UTD with 
Partial Religious Exemption]]/Table5[[#This Row],['# of Students]]</f>
        <v>0</v>
      </c>
    </row>
    <row r="19" spans="1:10" x14ac:dyDescent="0.25">
      <c r="A19" t="s">
        <v>19</v>
      </c>
      <c r="B19">
        <v>80</v>
      </c>
      <c r="C19">
        <v>0</v>
      </c>
      <c r="D19" s="1">
        <f>Table5[[#This Row],['# with Full 
Medical Exemption]]/Table5[[#This Row],['# of Students]]</f>
        <v>0</v>
      </c>
      <c r="E19">
        <v>0</v>
      </c>
      <c r="F19" s="1">
        <f>Table5[[#This Row],['# UTD with 
Partial Medical Exemption]]/Table5[[#This Row],['# of Students]]</f>
        <v>0</v>
      </c>
      <c r="G19">
        <v>0</v>
      </c>
      <c r="H19" s="1">
        <f>Table5[[#This Row],['# with Full 
Religous Exemption]]/Table5[[#This Row],['# of Students]]</f>
        <v>0</v>
      </c>
      <c r="I19">
        <v>0</v>
      </c>
      <c r="J19" s="1">
        <f>Table5[[#This Row],['# UTD with 
Partial Religious Exemption]]/Table5[[#This Row],['# of Students]]</f>
        <v>0</v>
      </c>
    </row>
    <row r="20" spans="1:10" x14ac:dyDescent="0.25">
      <c r="A20" t="s">
        <v>20</v>
      </c>
      <c r="B20">
        <v>50</v>
      </c>
      <c r="C20">
        <v>0</v>
      </c>
      <c r="D20" s="1">
        <f>Table5[[#This Row],['# with Full 
Medical Exemption]]/Table5[[#This Row],['# of Students]]</f>
        <v>0</v>
      </c>
      <c r="E20">
        <v>0</v>
      </c>
      <c r="F20" s="1">
        <f>Table5[[#This Row],['# UTD with 
Partial Medical Exemption]]/Table5[[#This Row],['# of Students]]</f>
        <v>0</v>
      </c>
      <c r="G20">
        <v>0</v>
      </c>
      <c r="H20" s="1">
        <f>Table5[[#This Row],['# with Full 
Religous Exemption]]/Table5[[#This Row],['# of Students]]</f>
        <v>0</v>
      </c>
      <c r="I20">
        <v>0</v>
      </c>
      <c r="J20" s="1">
        <f>Table5[[#This Row],['# UTD with 
Partial Religious Exemption]]/Table5[[#This Row],['# of Students]]</f>
        <v>0</v>
      </c>
    </row>
    <row r="21" spans="1:10" x14ac:dyDescent="0.25">
      <c r="A21" t="s">
        <v>21</v>
      </c>
      <c r="B21">
        <v>472</v>
      </c>
      <c r="C21">
        <v>0</v>
      </c>
      <c r="D21" s="1">
        <f>Table5[[#This Row],['# with Full 
Medical Exemption]]/Table5[[#This Row],['# of Students]]</f>
        <v>0</v>
      </c>
      <c r="E21">
        <v>0</v>
      </c>
      <c r="F21" s="1">
        <f>Table5[[#This Row],['# UTD with 
Partial Medical Exemption]]/Table5[[#This Row],['# of Students]]</f>
        <v>0</v>
      </c>
      <c r="G21">
        <v>12</v>
      </c>
      <c r="H21" s="1">
        <f>Table5[[#This Row],['# with Full 
Religous Exemption]]/Table5[[#This Row],['# of Students]]</f>
        <v>2.5423728813559324E-2</v>
      </c>
      <c r="I21">
        <v>0</v>
      </c>
      <c r="J21" s="1">
        <f>Table5[[#This Row],['# UTD with 
Partial Religious Exemption]]/Table5[[#This Row],['# of Students]]</f>
        <v>0</v>
      </c>
    </row>
    <row r="22" spans="1:10" x14ac:dyDescent="0.25">
      <c r="A22" t="s">
        <v>22</v>
      </c>
      <c r="B22">
        <v>145</v>
      </c>
      <c r="C22">
        <v>0</v>
      </c>
      <c r="D22" s="1">
        <f>Table5[[#This Row],['# with Full 
Medical Exemption]]/Table5[[#This Row],['# of Students]]</f>
        <v>0</v>
      </c>
      <c r="E22">
        <v>0</v>
      </c>
      <c r="F22" s="1">
        <f>Table5[[#This Row],['# UTD with 
Partial Medical Exemption]]/Table5[[#This Row],['# of Students]]</f>
        <v>0</v>
      </c>
      <c r="G22">
        <v>4</v>
      </c>
      <c r="H22" s="1">
        <f>Table5[[#This Row],['# with Full 
Religous Exemption]]/Table5[[#This Row],['# of Students]]</f>
        <v>2.7586206896551724E-2</v>
      </c>
      <c r="I22">
        <v>0</v>
      </c>
      <c r="J22" s="1">
        <f>Table5[[#This Row],['# UTD with 
Partial Religious Exemption]]/Table5[[#This Row],['# of Students]]</f>
        <v>0</v>
      </c>
    </row>
    <row r="23" spans="1:10" x14ac:dyDescent="0.25">
      <c r="A23" t="s">
        <v>23</v>
      </c>
      <c r="B23">
        <v>1004</v>
      </c>
      <c r="C23">
        <v>0</v>
      </c>
      <c r="D23" s="1">
        <f>Table5[[#This Row],['# with Full 
Medical Exemption]]/Table5[[#This Row],['# of Students]]</f>
        <v>0</v>
      </c>
      <c r="E23">
        <v>0</v>
      </c>
      <c r="F23" s="1">
        <f>Table5[[#This Row],['# UTD with 
Partial Medical Exemption]]/Table5[[#This Row],['# of Students]]</f>
        <v>0</v>
      </c>
      <c r="G23">
        <v>19</v>
      </c>
      <c r="H23" s="1">
        <f>Table5[[#This Row],['# with Full 
Religous Exemption]]/Table5[[#This Row],['# of Students]]</f>
        <v>1.8924302788844622E-2</v>
      </c>
      <c r="I23">
        <v>0</v>
      </c>
      <c r="J23" s="1">
        <f>Table5[[#This Row],['# UTD with 
Partial Religious Exemption]]/Table5[[#This Row],['# of Students]]</f>
        <v>0</v>
      </c>
    </row>
    <row r="24" spans="1:10" x14ac:dyDescent="0.25">
      <c r="A24" t="s">
        <v>24</v>
      </c>
      <c r="B24">
        <v>437</v>
      </c>
      <c r="C24">
        <v>0</v>
      </c>
      <c r="D24" s="1">
        <f>Table5[[#This Row],['# with Full 
Medical Exemption]]/Table5[[#This Row],['# of Students]]</f>
        <v>0</v>
      </c>
      <c r="E24">
        <v>0</v>
      </c>
      <c r="F24" s="1">
        <f>Table5[[#This Row],['# UTD with 
Partial Medical Exemption]]/Table5[[#This Row],['# of Students]]</f>
        <v>0</v>
      </c>
      <c r="G24">
        <v>14</v>
      </c>
      <c r="H24" s="1">
        <f>Table5[[#This Row],['# with Full 
Religous Exemption]]/Table5[[#This Row],['# of Students]]</f>
        <v>3.2036613272311214E-2</v>
      </c>
      <c r="I24">
        <v>0</v>
      </c>
      <c r="J24" s="1">
        <f>Table5[[#This Row],['# UTD with 
Partial Religious Exemption]]/Table5[[#This Row],['# of Students]]</f>
        <v>0</v>
      </c>
    </row>
    <row r="25" spans="1:10" x14ac:dyDescent="0.25">
      <c r="A25" t="s">
        <v>25</v>
      </c>
      <c r="B25">
        <v>237</v>
      </c>
      <c r="C25">
        <v>0</v>
      </c>
      <c r="D25" s="1">
        <f>Table5[[#This Row],['# with Full 
Medical Exemption]]/Table5[[#This Row],['# of Students]]</f>
        <v>0</v>
      </c>
      <c r="E25">
        <v>0</v>
      </c>
      <c r="F25" s="1">
        <f>Table5[[#This Row],['# UTD with 
Partial Medical Exemption]]/Table5[[#This Row],['# of Students]]</f>
        <v>0</v>
      </c>
      <c r="G25">
        <v>1</v>
      </c>
      <c r="H25" s="1">
        <f>Table5[[#This Row],['# with Full 
Religous Exemption]]/Table5[[#This Row],['# of Students]]</f>
        <v>4.2194092827004216E-3</v>
      </c>
      <c r="I25">
        <v>0</v>
      </c>
      <c r="J25" s="1">
        <f>Table5[[#This Row],['# UTD with 
Partial Religious Exemption]]/Table5[[#This Row],['# of Students]]</f>
        <v>0</v>
      </c>
    </row>
    <row r="26" spans="1:10" x14ac:dyDescent="0.25">
      <c r="A26" t="s">
        <v>26</v>
      </c>
      <c r="B26">
        <v>879</v>
      </c>
      <c r="C26">
        <v>0</v>
      </c>
      <c r="D26" s="1">
        <f>Table5[[#This Row],['# with Full 
Medical Exemption]]/Table5[[#This Row],['# of Students]]</f>
        <v>0</v>
      </c>
      <c r="E26">
        <v>0</v>
      </c>
      <c r="F26" s="1">
        <f>Table5[[#This Row],['# UTD with 
Partial Medical Exemption]]/Table5[[#This Row],['# of Students]]</f>
        <v>0</v>
      </c>
      <c r="G26">
        <v>23</v>
      </c>
      <c r="H26" s="1">
        <f>Table5[[#This Row],['# with Full 
Religous Exemption]]/Table5[[#This Row],['# of Students]]</f>
        <v>2.6166097838452786E-2</v>
      </c>
      <c r="I26">
        <v>0</v>
      </c>
      <c r="J26" s="1">
        <f>Table5[[#This Row],['# UTD with 
Partial Religious Exemption]]/Table5[[#This Row],['# of Students]]</f>
        <v>0</v>
      </c>
    </row>
    <row r="27" spans="1:10" x14ac:dyDescent="0.25">
      <c r="A27" t="s">
        <v>27</v>
      </c>
      <c r="B27">
        <v>1006</v>
      </c>
      <c r="C27">
        <v>0</v>
      </c>
      <c r="D27" s="1">
        <f>Table5[[#This Row],['# with Full 
Medical Exemption]]/Table5[[#This Row],['# of Students]]</f>
        <v>0</v>
      </c>
      <c r="E27">
        <v>0</v>
      </c>
      <c r="F27" s="1">
        <f>Table5[[#This Row],['# UTD with 
Partial Medical Exemption]]/Table5[[#This Row],['# of Students]]</f>
        <v>0</v>
      </c>
      <c r="G27">
        <v>24</v>
      </c>
      <c r="H27" s="1">
        <f>Table5[[#This Row],['# with Full 
Religous Exemption]]/Table5[[#This Row],['# of Students]]</f>
        <v>2.3856858846918488E-2</v>
      </c>
      <c r="I27">
        <v>0</v>
      </c>
      <c r="J27" s="1">
        <f>Table5[[#This Row],['# UTD with 
Partial Religious Exemption]]/Table5[[#This Row],['# of Students]]</f>
        <v>0</v>
      </c>
    </row>
    <row r="28" spans="1:10" x14ac:dyDescent="0.25">
      <c r="A28" t="s">
        <v>28</v>
      </c>
      <c r="B28">
        <v>312</v>
      </c>
      <c r="C28">
        <v>0</v>
      </c>
      <c r="D28" s="1">
        <f>Table5[[#This Row],['# with Full 
Medical Exemption]]/Table5[[#This Row],['# of Students]]</f>
        <v>0</v>
      </c>
      <c r="E28">
        <v>0</v>
      </c>
      <c r="F28" s="1">
        <f>Table5[[#This Row],['# UTD with 
Partial Medical Exemption]]/Table5[[#This Row],['# of Students]]</f>
        <v>0</v>
      </c>
      <c r="G28">
        <v>4</v>
      </c>
      <c r="H28" s="1">
        <f>Table5[[#This Row],['# with Full 
Religous Exemption]]/Table5[[#This Row],['# of Students]]</f>
        <v>1.282051282051282E-2</v>
      </c>
      <c r="I28">
        <v>0</v>
      </c>
      <c r="J28" s="1">
        <f>Table5[[#This Row],['# UTD with 
Partial Religious Exemption]]/Table5[[#This Row],['# of Students]]</f>
        <v>0</v>
      </c>
    </row>
    <row r="29" spans="1:10" x14ac:dyDescent="0.25">
      <c r="A29" t="s">
        <v>29</v>
      </c>
      <c r="B29">
        <v>1249</v>
      </c>
      <c r="C29">
        <v>3</v>
      </c>
      <c r="D29" s="1">
        <f>Table5[[#This Row],['# with Full 
Medical Exemption]]/Table5[[#This Row],['# of Students]]</f>
        <v>2.4019215372297837E-3</v>
      </c>
      <c r="E29">
        <v>0</v>
      </c>
      <c r="F29" s="1">
        <f>Table5[[#This Row],['# UTD with 
Partial Medical Exemption]]/Table5[[#This Row],['# of Students]]</f>
        <v>0</v>
      </c>
      <c r="G29">
        <v>38</v>
      </c>
      <c r="H29" s="1">
        <f>Table5[[#This Row],['# with Full 
Religous Exemption]]/Table5[[#This Row],['# of Students]]</f>
        <v>3.0424339471577262E-2</v>
      </c>
      <c r="I29">
        <v>0</v>
      </c>
      <c r="J29" s="1">
        <f>Table5[[#This Row],['# UTD with 
Partial Religious Exemption]]/Table5[[#This Row],['# of Students]]</f>
        <v>0</v>
      </c>
    </row>
    <row r="30" spans="1:10" x14ac:dyDescent="0.25">
      <c r="A30" t="s">
        <v>30</v>
      </c>
      <c r="B30">
        <v>200</v>
      </c>
      <c r="C30">
        <v>0</v>
      </c>
      <c r="D30" s="1">
        <f>Table5[[#This Row],['# with Full 
Medical Exemption]]/Table5[[#This Row],['# of Students]]</f>
        <v>0</v>
      </c>
      <c r="E30">
        <v>0</v>
      </c>
      <c r="F30" s="1">
        <f>Table5[[#This Row],['# UTD with 
Partial Medical Exemption]]/Table5[[#This Row],['# of Students]]</f>
        <v>0</v>
      </c>
      <c r="G30">
        <v>5</v>
      </c>
      <c r="H30" s="1">
        <f>Table5[[#This Row],['# with Full 
Religous Exemption]]/Table5[[#This Row],['# of Students]]</f>
        <v>2.5000000000000001E-2</v>
      </c>
      <c r="I30">
        <v>0</v>
      </c>
      <c r="J30" s="1">
        <f>Table5[[#This Row],['# UTD with 
Partial Religious Exemption]]/Table5[[#This Row],['# of Students]]</f>
        <v>0</v>
      </c>
    </row>
    <row r="31" spans="1:10" x14ac:dyDescent="0.25">
      <c r="A31" t="s">
        <v>31</v>
      </c>
      <c r="B31">
        <v>384</v>
      </c>
      <c r="C31">
        <v>0</v>
      </c>
      <c r="D31" s="1">
        <f>Table5[[#This Row],['# with Full 
Medical Exemption]]/Table5[[#This Row],['# of Students]]</f>
        <v>0</v>
      </c>
      <c r="E31">
        <v>0</v>
      </c>
      <c r="F31" s="1">
        <f>Table5[[#This Row],['# UTD with 
Partial Medical Exemption]]/Table5[[#This Row],['# of Students]]</f>
        <v>0</v>
      </c>
      <c r="G31">
        <v>6</v>
      </c>
      <c r="H31" s="1">
        <f>Table5[[#This Row],['# with Full 
Religous Exemption]]/Table5[[#This Row],['# of Students]]</f>
        <v>1.5625E-2</v>
      </c>
      <c r="I31">
        <v>0</v>
      </c>
      <c r="J31" s="1">
        <f>Table5[[#This Row],['# UTD with 
Partial Religious Exemption]]/Table5[[#This Row],['# of Students]]</f>
        <v>0</v>
      </c>
    </row>
    <row r="32" spans="1:10" x14ac:dyDescent="0.25">
      <c r="A32" t="s">
        <v>32</v>
      </c>
      <c r="B32">
        <v>335</v>
      </c>
      <c r="C32">
        <v>0</v>
      </c>
      <c r="D32" s="1">
        <f>Table5[[#This Row],['# with Full 
Medical Exemption]]/Table5[[#This Row],['# of Students]]</f>
        <v>0</v>
      </c>
      <c r="E32">
        <v>0</v>
      </c>
      <c r="F32" s="1">
        <f>Table5[[#This Row],['# UTD with 
Partial Medical Exemption]]/Table5[[#This Row],['# of Students]]</f>
        <v>0</v>
      </c>
      <c r="G32">
        <v>8</v>
      </c>
      <c r="H32" s="1">
        <f>Table5[[#This Row],['# with Full 
Religous Exemption]]/Table5[[#This Row],['# of Students]]</f>
        <v>2.3880597014925373E-2</v>
      </c>
      <c r="I32">
        <v>0</v>
      </c>
      <c r="J32" s="1">
        <f>Table5[[#This Row],['# UTD with 
Partial Religious Exemption]]/Table5[[#This Row],['# of Students]]</f>
        <v>0</v>
      </c>
    </row>
    <row r="33" spans="1:10" x14ac:dyDescent="0.25">
      <c r="A33" t="s">
        <v>33</v>
      </c>
      <c r="B33">
        <v>40</v>
      </c>
      <c r="C33">
        <v>0</v>
      </c>
      <c r="D33" s="1">
        <f>Table5[[#This Row],['# with Full 
Medical Exemption]]/Table5[[#This Row],['# of Students]]</f>
        <v>0</v>
      </c>
      <c r="E33">
        <v>0</v>
      </c>
      <c r="F33" s="1">
        <f>Table5[[#This Row],['# UTD with 
Partial Medical Exemption]]/Table5[[#This Row],['# of Students]]</f>
        <v>0</v>
      </c>
      <c r="G33">
        <v>0</v>
      </c>
      <c r="H33" s="1">
        <f>Table5[[#This Row],['# with Full 
Religous Exemption]]/Table5[[#This Row],['# of Students]]</f>
        <v>0</v>
      </c>
      <c r="I33">
        <v>0</v>
      </c>
      <c r="J33" s="1">
        <f>Table5[[#This Row],['# UTD with 
Partial Religious Exemption]]/Table5[[#This Row],['# of Students]]</f>
        <v>0</v>
      </c>
    </row>
    <row r="34" spans="1:10" x14ac:dyDescent="0.25">
      <c r="A34" t="s">
        <v>34</v>
      </c>
      <c r="B34">
        <v>139</v>
      </c>
      <c r="C34">
        <v>0</v>
      </c>
      <c r="D34" s="1">
        <f>Table5[[#This Row],['# with Full 
Medical Exemption]]/Table5[[#This Row],['# of Students]]</f>
        <v>0</v>
      </c>
      <c r="E34">
        <v>0</v>
      </c>
      <c r="F34" s="1">
        <f>Table5[[#This Row],['# UTD with 
Partial Medical Exemption]]/Table5[[#This Row],['# of Students]]</f>
        <v>0</v>
      </c>
      <c r="G34">
        <v>0</v>
      </c>
      <c r="H34" s="1">
        <f>Table5[[#This Row],['# with Full 
Religous Exemption]]/Table5[[#This Row],['# of Students]]</f>
        <v>0</v>
      </c>
      <c r="I34">
        <v>0</v>
      </c>
      <c r="J34" s="1">
        <f>Table5[[#This Row],['# UTD with 
Partial Religious Exemption]]/Table5[[#This Row],['# of Students]]</f>
        <v>0</v>
      </c>
    </row>
    <row r="35" spans="1:10" x14ac:dyDescent="0.25">
      <c r="A35" t="s">
        <v>35</v>
      </c>
      <c r="B35">
        <v>209</v>
      </c>
      <c r="C35">
        <v>0</v>
      </c>
      <c r="D35" s="1">
        <f>Table5[[#This Row],['# with Full 
Medical Exemption]]/Table5[[#This Row],['# of Students]]</f>
        <v>0</v>
      </c>
      <c r="E35">
        <v>0</v>
      </c>
      <c r="F35" s="1">
        <f>Table5[[#This Row],['# UTD with 
Partial Medical Exemption]]/Table5[[#This Row],['# of Students]]</f>
        <v>0</v>
      </c>
      <c r="G35">
        <v>0</v>
      </c>
      <c r="H35" s="1">
        <f>Table5[[#This Row],['# with Full 
Religous Exemption]]/Table5[[#This Row],['# of Students]]</f>
        <v>0</v>
      </c>
      <c r="I35">
        <v>0</v>
      </c>
      <c r="J35" s="1">
        <f>Table5[[#This Row],['# UTD with 
Partial Religious Exemption]]/Table5[[#This Row],['# of Students]]</f>
        <v>0</v>
      </c>
    </row>
    <row r="36" spans="1:10" x14ac:dyDescent="0.25">
      <c r="A36" t="s">
        <v>36</v>
      </c>
      <c r="B36">
        <v>1220</v>
      </c>
      <c r="C36">
        <v>3</v>
      </c>
      <c r="D36" s="1">
        <f>Table5[[#This Row],['# with Full 
Medical Exemption]]/Table5[[#This Row],['# of Students]]</f>
        <v>2.4590163934426232E-3</v>
      </c>
      <c r="E36">
        <v>2</v>
      </c>
      <c r="F36" s="1">
        <f>Table5[[#This Row],['# UTD with 
Partial Medical Exemption]]/Table5[[#This Row],['# of Students]]</f>
        <v>1.639344262295082E-3</v>
      </c>
      <c r="G36">
        <v>3</v>
      </c>
      <c r="H36" s="1">
        <f>Table5[[#This Row],['# with Full 
Religous Exemption]]/Table5[[#This Row],['# of Students]]</f>
        <v>2.4590163934426232E-3</v>
      </c>
      <c r="I36">
        <v>4</v>
      </c>
      <c r="J36" s="1">
        <f>Table5[[#This Row],['# UTD with 
Partial Religious Exemption]]/Table5[[#This Row],['# of Students]]</f>
        <v>3.2786885245901639E-3</v>
      </c>
    </row>
    <row r="37" spans="1:10" x14ac:dyDescent="0.25">
      <c r="A37" t="s">
        <v>37</v>
      </c>
      <c r="B37">
        <v>597</v>
      </c>
      <c r="C37">
        <v>0</v>
      </c>
      <c r="D37" s="1">
        <f>Table5[[#This Row],['# with Full 
Medical Exemption]]/Table5[[#This Row],['# of Students]]</f>
        <v>0</v>
      </c>
      <c r="E37">
        <v>0</v>
      </c>
      <c r="F37" s="1">
        <f>Table5[[#This Row],['# UTD with 
Partial Medical Exemption]]/Table5[[#This Row],['# of Students]]</f>
        <v>0</v>
      </c>
      <c r="G37">
        <v>21</v>
      </c>
      <c r="H37" s="1">
        <f>Table5[[#This Row],['# with Full 
Religous Exemption]]/Table5[[#This Row],['# of Students]]</f>
        <v>3.5175879396984924E-2</v>
      </c>
      <c r="I37">
        <v>0</v>
      </c>
      <c r="J37" s="1">
        <f>Table5[[#This Row],['# UTD with 
Partial Religious Exemption]]/Table5[[#This Row],['# of Students]]</f>
        <v>0</v>
      </c>
    </row>
    <row r="38" spans="1:10" x14ac:dyDescent="0.25">
      <c r="A38" t="s">
        <v>38</v>
      </c>
      <c r="B38">
        <v>7424</v>
      </c>
      <c r="C38">
        <v>5</v>
      </c>
      <c r="D38" s="1">
        <f>Table5[[#This Row],['# with Full 
Medical Exemption]]/Table5[[#This Row],['# of Students]]</f>
        <v>6.7349137931034487E-4</v>
      </c>
      <c r="E38">
        <v>1</v>
      </c>
      <c r="F38" s="1">
        <f>Table5[[#This Row],['# UTD with 
Partial Medical Exemption]]/Table5[[#This Row],['# of Students]]</f>
        <v>1.3469827586206896E-4</v>
      </c>
      <c r="G38">
        <v>119</v>
      </c>
      <c r="H38" s="1">
        <f>Table5[[#This Row],['# with Full 
Religous Exemption]]/Table5[[#This Row],['# of Students]]</f>
        <v>1.6029094827586209E-2</v>
      </c>
      <c r="I38">
        <v>1</v>
      </c>
      <c r="J38" s="1">
        <f>Table5[[#This Row],['# UTD with 
Partial Religious Exemption]]/Table5[[#This Row],['# of Students]]</f>
        <v>1.3469827586206896E-4</v>
      </c>
    </row>
    <row r="39" spans="1:10" x14ac:dyDescent="0.25">
      <c r="A39" t="s">
        <v>39</v>
      </c>
      <c r="B39">
        <v>189</v>
      </c>
      <c r="C39">
        <v>0</v>
      </c>
      <c r="D39" s="1">
        <f>Table5[[#This Row],['# with Full 
Medical Exemption]]/Table5[[#This Row],['# of Students]]</f>
        <v>0</v>
      </c>
      <c r="E39">
        <v>0</v>
      </c>
      <c r="F39" s="1">
        <f>Table5[[#This Row],['# UTD with 
Partial Medical Exemption]]/Table5[[#This Row],['# of Students]]</f>
        <v>0</v>
      </c>
      <c r="G39">
        <v>1</v>
      </c>
      <c r="H39" s="1">
        <f>Table5[[#This Row],['# with Full 
Religous Exemption]]/Table5[[#This Row],['# of Students]]</f>
        <v>5.2910052910052907E-3</v>
      </c>
      <c r="I39">
        <v>0</v>
      </c>
      <c r="J39" s="1">
        <f>Table5[[#This Row],['# UTD with 
Partial Religious Exemption]]/Table5[[#This Row],['# of Students]]</f>
        <v>0</v>
      </c>
    </row>
    <row r="40" spans="1:10" x14ac:dyDescent="0.25">
      <c r="A40" t="s">
        <v>40</v>
      </c>
      <c r="B40">
        <v>1000</v>
      </c>
      <c r="C40">
        <v>0</v>
      </c>
      <c r="D40" s="1">
        <f>Table5[[#This Row],['# with Full 
Medical Exemption]]/Table5[[#This Row],['# of Students]]</f>
        <v>0</v>
      </c>
      <c r="E40">
        <v>0</v>
      </c>
      <c r="F40" s="1">
        <f>Table5[[#This Row],['# UTD with 
Partial Medical Exemption]]/Table5[[#This Row],['# of Students]]</f>
        <v>0</v>
      </c>
      <c r="G40">
        <v>29</v>
      </c>
      <c r="H40" s="1">
        <f>Table5[[#This Row],['# with Full 
Religous Exemption]]/Table5[[#This Row],['# of Students]]</f>
        <v>2.9000000000000001E-2</v>
      </c>
      <c r="I40">
        <v>0</v>
      </c>
      <c r="J40" s="1">
        <f>Table5[[#This Row],['# UTD with 
Partial Religious Exemption]]/Table5[[#This Row],['# of Students]]</f>
        <v>0</v>
      </c>
    </row>
    <row r="41" spans="1:10" x14ac:dyDescent="0.25">
      <c r="A41" t="s">
        <v>41</v>
      </c>
      <c r="B41">
        <v>330</v>
      </c>
      <c r="C41">
        <v>0</v>
      </c>
      <c r="D41" s="1">
        <f>Table5[[#This Row],['# with Full 
Medical Exemption]]/Table5[[#This Row],['# of Students]]</f>
        <v>0</v>
      </c>
      <c r="E41">
        <v>1</v>
      </c>
      <c r="F41" s="1">
        <f>Table5[[#This Row],['# UTD with 
Partial Medical Exemption]]/Table5[[#This Row],['# of Students]]</f>
        <v>3.0303030303030303E-3</v>
      </c>
      <c r="G41">
        <v>6</v>
      </c>
      <c r="H41" s="1">
        <f>Table5[[#This Row],['# with Full 
Religous Exemption]]/Table5[[#This Row],['# of Students]]</f>
        <v>1.8181818181818181E-2</v>
      </c>
      <c r="I41">
        <v>0</v>
      </c>
      <c r="J41" s="1">
        <f>Table5[[#This Row],['# UTD with 
Partial Religious Exemption]]/Table5[[#This Row],['# of Students]]</f>
        <v>0</v>
      </c>
    </row>
    <row r="42" spans="1:10" x14ac:dyDescent="0.25">
      <c r="A42" t="s">
        <v>42</v>
      </c>
      <c r="B42">
        <v>1759</v>
      </c>
      <c r="C42">
        <v>2</v>
      </c>
      <c r="D42" s="1">
        <f>Table5[[#This Row],['# with Full 
Medical Exemption]]/Table5[[#This Row],['# of Students]]</f>
        <v>1.1370096645821489E-3</v>
      </c>
      <c r="E42">
        <v>0</v>
      </c>
      <c r="F42" s="1">
        <f>Table5[[#This Row],['# UTD with 
Partial Medical Exemption]]/Table5[[#This Row],['# of Students]]</f>
        <v>0</v>
      </c>
      <c r="G42">
        <v>21</v>
      </c>
      <c r="H42" s="1">
        <f>Table5[[#This Row],['# with Full 
Religous Exemption]]/Table5[[#This Row],['# of Students]]</f>
        <v>1.1938601478112564E-2</v>
      </c>
      <c r="I42">
        <v>0</v>
      </c>
      <c r="J42" s="1">
        <f>Table5[[#This Row],['# UTD with 
Partial Religious Exemption]]/Table5[[#This Row],['# of Students]]</f>
        <v>0</v>
      </c>
    </row>
    <row r="43" spans="1:10" x14ac:dyDescent="0.25">
      <c r="A43" t="s">
        <v>43</v>
      </c>
      <c r="B43">
        <v>966</v>
      </c>
      <c r="C43">
        <v>1</v>
      </c>
      <c r="D43" s="1">
        <f>Table5[[#This Row],['# with Full 
Medical Exemption]]/Table5[[#This Row],['# of Students]]</f>
        <v>1.0351966873706005E-3</v>
      </c>
      <c r="E43">
        <v>0</v>
      </c>
      <c r="F43" s="1">
        <f>Table5[[#This Row],['# UTD with 
Partial Medical Exemption]]/Table5[[#This Row],['# of Students]]</f>
        <v>0</v>
      </c>
      <c r="G43">
        <v>26</v>
      </c>
      <c r="H43" s="1">
        <f>Table5[[#This Row],['# with Full 
Religous Exemption]]/Table5[[#This Row],['# of Students]]</f>
        <v>2.6915113871635612E-2</v>
      </c>
      <c r="I43">
        <v>0</v>
      </c>
      <c r="J43" s="1">
        <f>Table5[[#This Row],['# UTD with 
Partial Religious Exemption]]/Table5[[#This Row],['# of Students]]</f>
        <v>0</v>
      </c>
    </row>
    <row r="44" spans="1:10" x14ac:dyDescent="0.25">
      <c r="A44" t="s">
        <v>44</v>
      </c>
      <c r="B44">
        <v>114</v>
      </c>
      <c r="C44">
        <v>0</v>
      </c>
      <c r="D44" s="1">
        <f>Table5[[#This Row],['# with Full 
Medical Exemption]]/Table5[[#This Row],['# of Students]]</f>
        <v>0</v>
      </c>
      <c r="E44">
        <v>0</v>
      </c>
      <c r="F44" s="1">
        <f>Table5[[#This Row],['# UTD with 
Partial Medical Exemption]]/Table5[[#This Row],['# of Students]]</f>
        <v>0</v>
      </c>
      <c r="G44">
        <v>0</v>
      </c>
      <c r="H44" s="1">
        <f>Table5[[#This Row],['# with Full 
Religous Exemption]]/Table5[[#This Row],['# of Students]]</f>
        <v>0</v>
      </c>
      <c r="I44">
        <v>0</v>
      </c>
      <c r="J44" s="1">
        <f>Table5[[#This Row],['# UTD with 
Partial Religious Exemption]]/Table5[[#This Row],['# of Students]]</f>
        <v>0</v>
      </c>
    </row>
    <row r="45" spans="1:10" x14ac:dyDescent="0.25">
      <c r="A45" t="s">
        <v>45</v>
      </c>
      <c r="B45">
        <v>125</v>
      </c>
      <c r="C45">
        <v>0</v>
      </c>
      <c r="D45" s="1">
        <f>Table5[[#This Row],['# with Full 
Medical Exemption]]/Table5[[#This Row],['# of Students]]</f>
        <v>0</v>
      </c>
      <c r="E45">
        <v>0</v>
      </c>
      <c r="F45" s="1">
        <f>Table5[[#This Row],['# UTD with 
Partial Medical Exemption]]/Table5[[#This Row],['# of Students]]</f>
        <v>0</v>
      </c>
      <c r="G45">
        <v>2</v>
      </c>
      <c r="H45" s="1">
        <f>Table5[[#This Row],['# with Full 
Religous Exemption]]/Table5[[#This Row],['# of Students]]</f>
        <v>1.6E-2</v>
      </c>
      <c r="I45">
        <v>0</v>
      </c>
      <c r="J45" s="1">
        <f>Table5[[#This Row],['# UTD with 
Partial Religious Exemption]]/Table5[[#This Row],['# of Students]]</f>
        <v>0</v>
      </c>
    </row>
    <row r="46" spans="1:10" x14ac:dyDescent="0.25">
      <c r="A46" t="s">
        <v>46</v>
      </c>
      <c r="B46">
        <v>4130</v>
      </c>
      <c r="C46">
        <v>0</v>
      </c>
      <c r="D46" s="1">
        <f>Table5[[#This Row],['# with Full 
Medical Exemption]]/Table5[[#This Row],['# of Students]]</f>
        <v>0</v>
      </c>
      <c r="E46">
        <v>0</v>
      </c>
      <c r="F46" s="1">
        <f>Table5[[#This Row],['# UTD with 
Partial Medical Exemption]]/Table5[[#This Row],['# of Students]]</f>
        <v>0</v>
      </c>
      <c r="G46">
        <v>64</v>
      </c>
      <c r="H46" s="1">
        <f>Table5[[#This Row],['# with Full 
Religous Exemption]]/Table5[[#This Row],['# of Students]]</f>
        <v>1.549636803874092E-2</v>
      </c>
      <c r="I46">
        <v>0</v>
      </c>
      <c r="J46" s="1">
        <f>Table5[[#This Row],['# UTD with 
Partial Religious Exemption]]/Table5[[#This Row],['# of Students]]</f>
        <v>0</v>
      </c>
    </row>
    <row r="47" spans="1:10" x14ac:dyDescent="0.25">
      <c r="A47" t="s">
        <v>47</v>
      </c>
      <c r="B47">
        <v>254</v>
      </c>
      <c r="C47">
        <v>0</v>
      </c>
      <c r="D47" s="1">
        <f>Table5[[#This Row],['# with Full 
Medical Exemption]]/Table5[[#This Row],['# of Students]]</f>
        <v>0</v>
      </c>
      <c r="E47">
        <v>0</v>
      </c>
      <c r="F47" s="1">
        <f>Table5[[#This Row],['# UTD with 
Partial Medical Exemption]]/Table5[[#This Row],['# of Students]]</f>
        <v>0</v>
      </c>
      <c r="G47">
        <v>3</v>
      </c>
      <c r="H47" s="1">
        <f>Table5[[#This Row],['# with Full 
Religous Exemption]]/Table5[[#This Row],['# of Students]]</f>
        <v>1.1811023622047244E-2</v>
      </c>
      <c r="I47">
        <v>0</v>
      </c>
      <c r="J47" s="1">
        <f>Table5[[#This Row],['# UTD with 
Partial Religious Exemption]]/Table5[[#This Row],['# of Students]]</f>
        <v>0</v>
      </c>
    </row>
    <row r="48" spans="1:10" x14ac:dyDescent="0.25">
      <c r="A48" t="s">
        <v>48</v>
      </c>
      <c r="B48">
        <v>342</v>
      </c>
      <c r="C48">
        <v>0</v>
      </c>
      <c r="D48" s="1">
        <f>Table5[[#This Row],['# with Full 
Medical Exemption]]/Table5[[#This Row],['# of Students]]</f>
        <v>0</v>
      </c>
      <c r="E48">
        <v>0</v>
      </c>
      <c r="F48" s="1">
        <f>Table5[[#This Row],['# UTD with 
Partial Medical Exemption]]/Table5[[#This Row],['# of Students]]</f>
        <v>0</v>
      </c>
      <c r="G48">
        <v>8</v>
      </c>
      <c r="H48" s="1">
        <f>Table5[[#This Row],['# with Full 
Religous Exemption]]/Table5[[#This Row],['# of Students]]</f>
        <v>2.3391812865497075E-2</v>
      </c>
      <c r="I48">
        <v>0</v>
      </c>
      <c r="J48" s="1">
        <f>Table5[[#This Row],['# UTD with 
Partial Religious Exemption]]/Table5[[#This Row],['# of Students]]</f>
        <v>0</v>
      </c>
    </row>
    <row r="49" spans="1:10" x14ac:dyDescent="0.25">
      <c r="A49" t="s">
        <v>49</v>
      </c>
      <c r="B49">
        <v>1323</v>
      </c>
      <c r="C49">
        <v>0</v>
      </c>
      <c r="D49" s="1">
        <f>Table5[[#This Row],['# with Full 
Medical Exemption]]/Table5[[#This Row],['# of Students]]</f>
        <v>0</v>
      </c>
      <c r="E49">
        <v>0</v>
      </c>
      <c r="F49" s="1">
        <f>Table5[[#This Row],['# UTD with 
Partial Medical Exemption]]/Table5[[#This Row],['# of Students]]</f>
        <v>0</v>
      </c>
      <c r="G49">
        <v>19</v>
      </c>
      <c r="H49" s="1">
        <f>Table5[[#This Row],['# with Full 
Religous Exemption]]/Table5[[#This Row],['# of Students]]</f>
        <v>1.436130007558579E-2</v>
      </c>
      <c r="I49">
        <v>0</v>
      </c>
      <c r="J49" s="1">
        <f>Table5[[#This Row],['# UTD with 
Partial Religious Exemption]]/Table5[[#This Row],['# of Students]]</f>
        <v>0</v>
      </c>
    </row>
    <row r="50" spans="1:10" x14ac:dyDescent="0.25">
      <c r="A50" t="s">
        <v>50</v>
      </c>
      <c r="B50">
        <v>4754</v>
      </c>
      <c r="C50">
        <v>4</v>
      </c>
      <c r="D50" s="1">
        <f>Table5[[#This Row],['# with Full 
Medical Exemption]]/Table5[[#This Row],['# of Students]]</f>
        <v>8.4139671855279767E-4</v>
      </c>
      <c r="E50">
        <v>0</v>
      </c>
      <c r="F50" s="1">
        <f>Table5[[#This Row],['# UTD with 
Partial Medical Exemption]]/Table5[[#This Row],['# of Students]]</f>
        <v>0</v>
      </c>
      <c r="G50">
        <v>123</v>
      </c>
      <c r="H50" s="1">
        <f>Table5[[#This Row],['# with Full 
Religous Exemption]]/Table5[[#This Row],['# of Students]]</f>
        <v>2.5872949095498528E-2</v>
      </c>
      <c r="I50">
        <v>0</v>
      </c>
      <c r="J50" s="1">
        <f>Table5[[#This Row],['# UTD with 
Partial Religious Exemption]]/Table5[[#This Row],['# of Students]]</f>
        <v>0</v>
      </c>
    </row>
    <row r="51" spans="1:10" x14ac:dyDescent="0.25">
      <c r="A51" t="s">
        <v>51</v>
      </c>
      <c r="B51">
        <v>218</v>
      </c>
      <c r="C51">
        <v>0</v>
      </c>
      <c r="D51" s="1">
        <f>Table5[[#This Row],['# with Full 
Medical Exemption]]/Table5[[#This Row],['# of Students]]</f>
        <v>0</v>
      </c>
      <c r="E51">
        <v>1</v>
      </c>
      <c r="F51" s="1">
        <f>Table5[[#This Row],['# UTD with 
Partial Medical Exemption]]/Table5[[#This Row],['# of Students]]</f>
        <v>4.5871559633027525E-3</v>
      </c>
      <c r="G51">
        <v>4</v>
      </c>
      <c r="H51" s="1">
        <f>Table5[[#This Row],['# with Full 
Religous Exemption]]/Table5[[#This Row],['# of Students]]</f>
        <v>1.834862385321101E-2</v>
      </c>
      <c r="I51">
        <v>0</v>
      </c>
      <c r="J51" s="1">
        <f>Table5[[#This Row],['# UTD with 
Partial Religious Exemption]]/Table5[[#This Row],['# of Students]]</f>
        <v>0</v>
      </c>
    </row>
    <row r="52" spans="1:10" x14ac:dyDescent="0.25">
      <c r="A52" t="s">
        <v>52</v>
      </c>
      <c r="B52">
        <v>2342</v>
      </c>
      <c r="C52">
        <v>2</v>
      </c>
      <c r="D52" s="1">
        <f>Table5[[#This Row],['# with Full 
Medical Exemption]]/Table5[[#This Row],['# of Students]]</f>
        <v>8.5397096498719043E-4</v>
      </c>
      <c r="E52">
        <v>1</v>
      </c>
      <c r="F52" s="1">
        <f>Table5[[#This Row],['# UTD with 
Partial Medical Exemption]]/Table5[[#This Row],['# of Students]]</f>
        <v>4.2698548249359521E-4</v>
      </c>
      <c r="G52">
        <v>40</v>
      </c>
      <c r="H52" s="1">
        <f>Table5[[#This Row],['# with Full 
Religous Exemption]]/Table5[[#This Row],['# of Students]]</f>
        <v>1.7079419299743808E-2</v>
      </c>
      <c r="I52">
        <v>0</v>
      </c>
      <c r="J52" s="1">
        <f>Table5[[#This Row],['# UTD with 
Partial Religious Exemption]]/Table5[[#This Row],['# of Students]]</f>
        <v>0</v>
      </c>
    </row>
    <row r="53" spans="1:10" x14ac:dyDescent="0.25">
      <c r="A53" t="s">
        <v>53</v>
      </c>
      <c r="B53">
        <v>1481</v>
      </c>
      <c r="C53">
        <v>0</v>
      </c>
      <c r="D53" s="1">
        <f>Table5[[#This Row],['# with Full 
Medical Exemption]]/Table5[[#This Row],['# of Students]]</f>
        <v>0</v>
      </c>
      <c r="E53">
        <v>0</v>
      </c>
      <c r="F53" s="1">
        <f>Table5[[#This Row],['# UTD with 
Partial Medical Exemption]]/Table5[[#This Row],['# of Students]]</f>
        <v>0</v>
      </c>
      <c r="G53">
        <v>36</v>
      </c>
      <c r="H53" s="1">
        <f>Table5[[#This Row],['# with Full 
Religous Exemption]]/Table5[[#This Row],['# of Students]]</f>
        <v>2.4307900067521943E-2</v>
      </c>
      <c r="I53">
        <v>0</v>
      </c>
      <c r="J53" s="1">
        <f>Table5[[#This Row],['# UTD with 
Partial Religious Exemption]]/Table5[[#This Row],['# of Students]]</f>
        <v>0</v>
      </c>
    </row>
    <row r="54" spans="1:10" x14ac:dyDescent="0.25">
      <c r="A54" t="s">
        <v>54</v>
      </c>
      <c r="B54">
        <v>53</v>
      </c>
      <c r="C54">
        <v>0</v>
      </c>
      <c r="D54" s="1">
        <f>Table5[[#This Row],['# with Full 
Medical Exemption]]/Table5[[#This Row],['# of Students]]</f>
        <v>0</v>
      </c>
      <c r="E54">
        <v>0</v>
      </c>
      <c r="F54" s="1">
        <f>Table5[[#This Row],['# UTD with 
Partial Medical Exemption]]/Table5[[#This Row],['# of Students]]</f>
        <v>0</v>
      </c>
      <c r="G54">
        <v>0</v>
      </c>
      <c r="H54" s="1">
        <f>Table5[[#This Row],['# with Full 
Religous Exemption]]/Table5[[#This Row],['# of Students]]</f>
        <v>0</v>
      </c>
      <c r="I54">
        <v>0</v>
      </c>
      <c r="J54" s="1">
        <f>Table5[[#This Row],['# UTD with 
Partial Religious Exemption]]/Table5[[#This Row],['# of Students]]</f>
        <v>0</v>
      </c>
    </row>
    <row r="55" spans="1:10" x14ac:dyDescent="0.25">
      <c r="A55" t="s">
        <v>55</v>
      </c>
      <c r="B55">
        <v>138</v>
      </c>
      <c r="C55">
        <v>0</v>
      </c>
      <c r="D55" s="1">
        <f>Table5[[#This Row],['# with Full 
Medical Exemption]]/Table5[[#This Row],['# of Students]]</f>
        <v>0</v>
      </c>
      <c r="E55">
        <v>0</v>
      </c>
      <c r="F55" s="1">
        <f>Table5[[#This Row],['# UTD with 
Partial Medical Exemption]]/Table5[[#This Row],['# of Students]]</f>
        <v>0</v>
      </c>
      <c r="G55">
        <v>1</v>
      </c>
      <c r="H55" s="1">
        <f>Table5[[#This Row],['# with Full 
Religous Exemption]]/Table5[[#This Row],['# of Students]]</f>
        <v>7.246376811594203E-3</v>
      </c>
      <c r="I55">
        <v>0</v>
      </c>
      <c r="J55" s="1">
        <f>Table5[[#This Row],['# UTD with 
Partial Religious Exemption]]/Table5[[#This Row],['# of Students]]</f>
        <v>0</v>
      </c>
    </row>
    <row r="56" spans="1:10" x14ac:dyDescent="0.25">
      <c r="A56" t="s">
        <v>56</v>
      </c>
      <c r="B56">
        <v>265</v>
      </c>
      <c r="C56">
        <v>1</v>
      </c>
      <c r="D56" s="1">
        <f>Table5[[#This Row],['# with Full 
Medical Exemption]]/Table5[[#This Row],['# of Students]]</f>
        <v>3.7735849056603774E-3</v>
      </c>
      <c r="E56">
        <v>0</v>
      </c>
      <c r="F56" s="1">
        <f>Table5[[#This Row],['# UTD with 
Partial Medical Exemption]]/Table5[[#This Row],['# of Students]]</f>
        <v>0</v>
      </c>
      <c r="G56">
        <v>1</v>
      </c>
      <c r="H56" s="1">
        <f>Table5[[#This Row],['# with Full 
Religous Exemption]]/Table5[[#This Row],['# of Students]]</f>
        <v>3.7735849056603774E-3</v>
      </c>
      <c r="I56">
        <v>0</v>
      </c>
      <c r="J56" s="1">
        <f>Table5[[#This Row],['# UTD with 
Partial Religious Exemption]]/Table5[[#This Row],['# of Students]]</f>
        <v>0</v>
      </c>
    </row>
    <row r="57" spans="1:10" x14ac:dyDescent="0.25">
      <c r="A57" t="s">
        <v>57</v>
      </c>
      <c r="B57">
        <v>248</v>
      </c>
      <c r="C57">
        <v>0</v>
      </c>
      <c r="D57" s="1">
        <f>Table5[[#This Row],['# with Full 
Medical Exemption]]/Table5[[#This Row],['# of Students]]</f>
        <v>0</v>
      </c>
      <c r="E57">
        <v>0</v>
      </c>
      <c r="F57" s="1">
        <f>Table5[[#This Row],['# UTD with 
Partial Medical Exemption]]/Table5[[#This Row],['# of Students]]</f>
        <v>0</v>
      </c>
      <c r="G57">
        <v>5</v>
      </c>
      <c r="H57" s="1">
        <f>Table5[[#This Row],['# with Full 
Religous Exemption]]/Table5[[#This Row],['# of Students]]</f>
        <v>2.0161290322580645E-2</v>
      </c>
      <c r="I57">
        <v>0</v>
      </c>
      <c r="J57" s="1">
        <f>Table5[[#This Row],['# UTD with 
Partial Religious Exemption]]/Table5[[#This Row],['# of Students]]</f>
        <v>0</v>
      </c>
    </row>
    <row r="58" spans="1:10" x14ac:dyDescent="0.25">
      <c r="A58" t="s">
        <v>58</v>
      </c>
      <c r="B58">
        <v>696</v>
      </c>
      <c r="C58">
        <v>1</v>
      </c>
      <c r="D58" s="1">
        <f>Table5[[#This Row],['# with Full 
Medical Exemption]]/Table5[[#This Row],['# of Students]]</f>
        <v>1.4367816091954023E-3</v>
      </c>
      <c r="E58">
        <v>0</v>
      </c>
      <c r="F58" s="1">
        <f>Table5[[#This Row],['# UTD with 
Partial Medical Exemption]]/Table5[[#This Row],['# of Students]]</f>
        <v>0</v>
      </c>
      <c r="G58">
        <v>7</v>
      </c>
      <c r="H58" s="1">
        <f>Table5[[#This Row],['# with Full 
Religous Exemption]]/Table5[[#This Row],['# of Students]]</f>
        <v>1.0057471264367816E-2</v>
      </c>
      <c r="I58">
        <v>0</v>
      </c>
      <c r="J58" s="1">
        <f>Table5[[#This Row],['# UTD with 
Partial Religious Exemption]]/Table5[[#This Row],['# of Students]]</f>
        <v>0</v>
      </c>
    </row>
    <row r="59" spans="1:10" x14ac:dyDescent="0.25">
      <c r="A59" t="s">
        <v>59</v>
      </c>
      <c r="B59">
        <v>2263</v>
      </c>
      <c r="C59">
        <v>3</v>
      </c>
      <c r="D59" s="1">
        <f>Table5[[#This Row],['# with Full 
Medical Exemption]]/Table5[[#This Row],['# of Students]]</f>
        <v>1.3256738842244808E-3</v>
      </c>
      <c r="E59">
        <v>0</v>
      </c>
      <c r="F59" s="1">
        <f>Table5[[#This Row],['# UTD with 
Partial Medical Exemption]]/Table5[[#This Row],['# of Students]]</f>
        <v>0</v>
      </c>
      <c r="G59">
        <v>65</v>
      </c>
      <c r="H59" s="1">
        <f>Table5[[#This Row],['# with Full 
Religous Exemption]]/Table5[[#This Row],['# of Students]]</f>
        <v>2.8722934158197082E-2</v>
      </c>
      <c r="I59">
        <v>0</v>
      </c>
      <c r="J59" s="1">
        <f>Table5[[#This Row],['# UTD with 
Partial Religious Exemption]]/Table5[[#This Row],['# of Students]]</f>
        <v>0</v>
      </c>
    </row>
    <row r="60" spans="1:10" x14ac:dyDescent="0.25">
      <c r="A60" t="s">
        <v>69</v>
      </c>
      <c r="B60">
        <v>1006</v>
      </c>
      <c r="C60">
        <v>3</v>
      </c>
      <c r="D60" s="1">
        <f>Table5[[#This Row],['# with Full 
Medical Exemption]]/Table5[[#This Row],['# of Students]]</f>
        <v>2.982107355864811E-3</v>
      </c>
      <c r="E60">
        <v>0</v>
      </c>
      <c r="F60" s="1">
        <f>Table5[[#This Row],['# UTD with 
Partial Medical Exemption]]/Table5[[#This Row],['# of Students]]</f>
        <v>0</v>
      </c>
      <c r="G60">
        <v>34</v>
      </c>
      <c r="H60" s="1">
        <f>Table5[[#This Row],['# with Full 
Religous Exemption]]/Table5[[#This Row],['# of Students]]</f>
        <v>3.3797216699801194E-2</v>
      </c>
      <c r="I60">
        <v>0</v>
      </c>
      <c r="J60" s="1">
        <f>Table5[[#This Row],['# UTD with 
Partial Religious Exemption]]/Table5[[#This Row],['# of Students]]</f>
        <v>0</v>
      </c>
    </row>
    <row r="61" spans="1:10" x14ac:dyDescent="0.25">
      <c r="A61" t="s">
        <v>61</v>
      </c>
      <c r="B61">
        <v>61</v>
      </c>
      <c r="C61">
        <v>0</v>
      </c>
      <c r="D61" s="1">
        <f>Table5[[#This Row],['# with Full 
Medical Exemption]]/Table5[[#This Row],['# of Students]]</f>
        <v>0</v>
      </c>
      <c r="E61">
        <v>0</v>
      </c>
      <c r="F61" s="1">
        <f>Table5[[#This Row],['# UTD with 
Partial Medical Exemption]]/Table5[[#This Row],['# of Students]]</f>
        <v>0</v>
      </c>
      <c r="G61">
        <v>1</v>
      </c>
      <c r="H61" s="1">
        <f>Table5[[#This Row],['# with Full 
Religous Exemption]]/Table5[[#This Row],['# of Students]]</f>
        <v>1.6393442622950821E-2</v>
      </c>
      <c r="I61">
        <v>0</v>
      </c>
      <c r="J61" s="1">
        <f>Table5[[#This Row],['# UTD with 
Partial Religious Exemption]]/Table5[[#This Row],['# of Students]]</f>
        <v>0</v>
      </c>
    </row>
    <row r="62" spans="1:10" x14ac:dyDescent="0.25">
      <c r="A62" t="s">
        <v>62</v>
      </c>
      <c r="B62">
        <v>730</v>
      </c>
      <c r="C62">
        <v>1</v>
      </c>
      <c r="D62" s="1">
        <f>Table5[[#This Row],['# with Full 
Medical Exemption]]/Table5[[#This Row],['# of Students]]</f>
        <v>1.3698630136986301E-3</v>
      </c>
      <c r="E62">
        <v>0</v>
      </c>
      <c r="F62" s="1">
        <f>Table5[[#This Row],['# UTD with 
Partial Medical Exemption]]/Table5[[#This Row],['# of Students]]</f>
        <v>0</v>
      </c>
      <c r="G62">
        <v>9</v>
      </c>
      <c r="H62" s="1">
        <f>Table5[[#This Row],['# with Full 
Religous Exemption]]/Table5[[#This Row],['# of Students]]</f>
        <v>1.2328767123287671E-2</v>
      </c>
      <c r="I62">
        <v>0</v>
      </c>
      <c r="J62" s="1">
        <f>Table5[[#This Row],['# UTD with 
Partial Religious Exemption]]/Table5[[#This Row],['# of Students]]</f>
        <v>0</v>
      </c>
    </row>
    <row r="63" spans="1:10" x14ac:dyDescent="0.25">
      <c r="A63" t="s">
        <v>63</v>
      </c>
      <c r="B63">
        <v>426</v>
      </c>
      <c r="C63">
        <v>0</v>
      </c>
      <c r="D63" s="1">
        <f>Table5[[#This Row],['# with Full 
Medical Exemption]]/Table5[[#This Row],['# of Students]]</f>
        <v>0</v>
      </c>
      <c r="E63">
        <v>0</v>
      </c>
      <c r="F63" s="1">
        <f>Table5[[#This Row],['# UTD with 
Partial Medical Exemption]]/Table5[[#This Row],['# of Students]]</f>
        <v>0</v>
      </c>
      <c r="G63">
        <v>4</v>
      </c>
      <c r="H63" s="1">
        <f>Table5[[#This Row],['# with Full 
Religous Exemption]]/Table5[[#This Row],['# of Students]]</f>
        <v>9.3896713615023476E-3</v>
      </c>
      <c r="I63">
        <v>0</v>
      </c>
      <c r="J63" s="1">
        <f>Table5[[#This Row],['# UTD with 
Partial Religious Exemption]]/Table5[[#This Row],['# of Students]]</f>
        <v>0</v>
      </c>
    </row>
    <row r="64" spans="1:10" x14ac:dyDescent="0.25">
      <c r="A64" t="s">
        <v>64</v>
      </c>
      <c r="B64">
        <v>2449</v>
      </c>
      <c r="C64">
        <v>1</v>
      </c>
      <c r="D64" s="1">
        <f>Table5[[#This Row],['# with Full 
Medical Exemption]]/Table5[[#This Row],['# of Students]]</f>
        <v>4.0832993058391182E-4</v>
      </c>
      <c r="E64">
        <v>0</v>
      </c>
      <c r="F64" s="1">
        <f>Table5[[#This Row],['# UTD with 
Partial Medical Exemption]]/Table5[[#This Row],['# of Students]]</f>
        <v>0</v>
      </c>
      <c r="G64">
        <v>39</v>
      </c>
      <c r="H64" s="1">
        <f>Table5[[#This Row],['# with Full 
Religous Exemption]]/Table5[[#This Row],['# of Students]]</f>
        <v>1.5924867292772562E-2</v>
      </c>
      <c r="I64">
        <v>0</v>
      </c>
      <c r="J64" s="1">
        <f>Table5[[#This Row],['# UTD with 
Partial Religious Exemption]]/Table5[[#This Row],['# of Students]]</f>
        <v>0</v>
      </c>
    </row>
    <row r="65" spans="1:10" x14ac:dyDescent="0.25">
      <c r="A65" t="s">
        <v>65</v>
      </c>
      <c r="B65">
        <v>744</v>
      </c>
      <c r="C65">
        <v>1</v>
      </c>
      <c r="D65" s="1">
        <f>Table5[[#This Row],['# with Full 
Medical Exemption]]/Table5[[#This Row],['# of Students]]</f>
        <v>1.3440860215053765E-3</v>
      </c>
      <c r="E65">
        <v>0</v>
      </c>
      <c r="F65" s="1">
        <f>Table5[[#This Row],['# UTD with 
Partial Medical Exemption]]/Table5[[#This Row],['# of Students]]</f>
        <v>0</v>
      </c>
      <c r="G65">
        <v>22</v>
      </c>
      <c r="H65" s="1">
        <f>Table5[[#This Row],['# with Full 
Religous Exemption]]/Table5[[#This Row],['# of Students]]</f>
        <v>2.9569892473118281E-2</v>
      </c>
      <c r="I65">
        <v>0</v>
      </c>
      <c r="J65" s="1">
        <f>Table5[[#This Row],['# UTD with 
Partial Religious Exemption]]/Table5[[#This Row],['# of Students]]</f>
        <v>0</v>
      </c>
    </row>
    <row r="66" spans="1:10" x14ac:dyDescent="0.25">
      <c r="A66" t="s">
        <v>66</v>
      </c>
      <c r="B66">
        <v>181</v>
      </c>
      <c r="C66">
        <v>0</v>
      </c>
      <c r="D66" s="1">
        <f>Table5[[#This Row],['# with Full 
Medical Exemption]]/Table5[[#This Row],['# of Students]]</f>
        <v>0</v>
      </c>
      <c r="E66">
        <v>0</v>
      </c>
      <c r="F66" s="1">
        <f>Table5[[#This Row],['# UTD with 
Partial Medical Exemption]]/Table5[[#This Row],['# of Students]]</f>
        <v>0</v>
      </c>
      <c r="G66">
        <v>0</v>
      </c>
      <c r="H66" s="1">
        <f>Table5[[#This Row],['# with Full 
Religous Exemption]]/Table5[[#This Row],['# of Students]]</f>
        <v>0</v>
      </c>
      <c r="I66">
        <v>0</v>
      </c>
      <c r="J66" s="1">
        <f>Table5[[#This Row],['# UTD with 
Partial Religious Exemption]]/Table5[[#This Row],['# of Students]]</f>
        <v>0</v>
      </c>
    </row>
    <row r="67" spans="1:10" x14ac:dyDescent="0.25">
      <c r="A67" t="s">
        <v>67</v>
      </c>
      <c r="B67">
        <v>70</v>
      </c>
      <c r="C67">
        <v>0</v>
      </c>
      <c r="D67" s="1">
        <f>Table5[[#This Row],['# with Full 
Medical Exemption]]/Table5[[#This Row],['# of Students]]</f>
        <v>0</v>
      </c>
      <c r="E67">
        <v>0</v>
      </c>
      <c r="F67" s="1">
        <f>Table5[[#This Row],['# UTD with 
Partial Medical Exemption]]/Table5[[#This Row],['# of Students]]</f>
        <v>0</v>
      </c>
      <c r="G67">
        <v>0</v>
      </c>
      <c r="H67" s="1">
        <f>Table5[[#This Row],['# with Full 
Religous Exemption]]/Table5[[#This Row],['# of Students]]</f>
        <v>0</v>
      </c>
      <c r="I67">
        <v>0</v>
      </c>
      <c r="J67" s="1">
        <f>Table5[[#This Row],['# UTD with 
Partial Religious Exemption]]/Table5[[#This Row],['# of Students]]</f>
        <v>0</v>
      </c>
    </row>
    <row r="68" spans="1:10" x14ac:dyDescent="0.25">
      <c r="A68" t="s">
        <v>68</v>
      </c>
      <c r="B68">
        <v>293</v>
      </c>
      <c r="C68">
        <v>0</v>
      </c>
      <c r="D68" s="1">
        <f>Table5[[#This Row],['# with Full 
Medical Exemption]]/Table5[[#This Row],['# of Students]]</f>
        <v>0</v>
      </c>
      <c r="E68">
        <v>0</v>
      </c>
      <c r="F68" s="1">
        <f>Table5[[#This Row],['# UTD with 
Partial Medical Exemption]]/Table5[[#This Row],['# of Students]]</f>
        <v>0</v>
      </c>
      <c r="G68">
        <v>7</v>
      </c>
      <c r="H68" s="1">
        <f>Table5[[#This Row],['# with Full 
Religous Exemption]]/Table5[[#This Row],['# of Students]]</f>
        <v>2.3890784982935155E-2</v>
      </c>
      <c r="I68">
        <v>0</v>
      </c>
      <c r="J68" s="1">
        <f>Table5[[#This Row],['# UTD with 
Partial Religious Exemption]]/Table5[[#This Row],['# of Students]]</f>
        <v>0</v>
      </c>
    </row>
    <row r="69" spans="1:10" x14ac:dyDescent="0.25">
      <c r="B69">
        <f t="shared" ref="B69:I69" si="0">SUBTOTAL(109,B2:B68)</f>
        <v>54565</v>
      </c>
      <c r="C69">
        <f t="shared" si="0"/>
        <v>36</v>
      </c>
      <c r="D69" s="1">
        <f>Table5[[#Totals],['# with Full 
Medical Exemption]]/Table5[[#Totals],['# of Students]]</f>
        <v>6.5976358471547694E-4</v>
      </c>
      <c r="E69">
        <f t="shared" si="0"/>
        <v>8</v>
      </c>
      <c r="F69" s="1">
        <f>Table5[[#Totals],['# UTD with 
Partial Medical Exemption]]/Table5[[#Totals],['# of Students]]</f>
        <v>1.4661412993677265E-4</v>
      </c>
      <c r="G69">
        <f t="shared" si="0"/>
        <v>1139</v>
      </c>
      <c r="H69" s="1">
        <f>Table5[[#Totals],['# with Full 
Religous Exemption]]/Table5[[#Totals],['# of Students]]</f>
        <v>2.0874186749748006E-2</v>
      </c>
      <c r="I69">
        <f t="shared" si="0"/>
        <v>5</v>
      </c>
      <c r="J69" s="1">
        <f>Table5[[#Totals],['# UTD with 
Partial Religious Exemption]]/Table5[[#Totals],['# of Students]]</f>
        <v>9.1633831210482912E-5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D670-C07C-4395-B6C4-C73ED9C22230}">
  <dimension ref="A1:J69"/>
  <sheetViews>
    <sheetView workbookViewId="0"/>
  </sheetViews>
  <sheetFormatPr defaultRowHeight="15" x14ac:dyDescent="0.25"/>
  <cols>
    <col min="1" max="1" width="14.28515625" bestFit="1" customWidth="1"/>
    <col min="2" max="2" width="14.85546875" bestFit="1" customWidth="1"/>
    <col min="3" max="3" width="20.7109375" bestFit="1" customWidth="1"/>
    <col min="4" max="4" width="20.7109375" style="1" bestFit="1" customWidth="1"/>
    <col min="5" max="5" width="27" bestFit="1" customWidth="1"/>
    <col min="6" max="6" width="25.85546875" style="1" bestFit="1" customWidth="1"/>
    <col min="7" max="7" width="21.140625" bestFit="1" customWidth="1"/>
    <col min="8" max="8" width="21.140625" style="1" bestFit="1" customWidth="1"/>
    <col min="9" max="9" width="28.140625" bestFit="1" customWidth="1"/>
    <col min="10" max="10" width="28.140625" style="1" bestFit="1" customWidth="1"/>
  </cols>
  <sheetData>
    <row r="1" spans="1:10" ht="30" x14ac:dyDescent="0.25">
      <c r="A1" t="s">
        <v>0</v>
      </c>
      <c r="B1" t="s">
        <v>1</v>
      </c>
      <c r="C1" s="3" t="s">
        <v>70</v>
      </c>
      <c r="D1" s="4" t="s">
        <v>71</v>
      </c>
      <c r="E1" s="3" t="s">
        <v>72</v>
      </c>
      <c r="F1" s="4" t="s">
        <v>75</v>
      </c>
      <c r="G1" s="3" t="s">
        <v>76</v>
      </c>
      <c r="H1" s="4" t="s">
        <v>77</v>
      </c>
      <c r="I1" s="3" t="s">
        <v>73</v>
      </c>
      <c r="J1" s="4" t="s">
        <v>74</v>
      </c>
    </row>
    <row r="2" spans="1:10" x14ac:dyDescent="0.25">
      <c r="A2" t="s">
        <v>2</v>
      </c>
      <c r="B2">
        <v>595</v>
      </c>
      <c r="C2">
        <v>0</v>
      </c>
      <c r="D2" s="1">
        <f>Table6[[#This Row],['# with Full 
Medical Exemption]]/Table6[[#This Row],['# of Students]]</f>
        <v>0</v>
      </c>
      <c r="E2">
        <v>0</v>
      </c>
      <c r="F2" s="1">
        <f>Table6[[#This Row],['# UTD with 
Partial Medical Exemption]]/Table6[[#This Row],['# of Students]]</f>
        <v>0</v>
      </c>
      <c r="G2">
        <v>11</v>
      </c>
      <c r="H2" s="1">
        <f>Table6[[#This Row],['# with Full 
Religous Exemption]]/Table6[[#This Row],['# of Students]]</f>
        <v>1.8487394957983194E-2</v>
      </c>
      <c r="I2">
        <v>0</v>
      </c>
      <c r="J2" s="1">
        <f>Table6[[#This Row],['# UTD with 
Partial Religious Exemption]]/Table6[[#This Row],['# of Students]]</f>
        <v>0</v>
      </c>
    </row>
    <row r="3" spans="1:10" x14ac:dyDescent="0.25">
      <c r="A3" t="s">
        <v>3</v>
      </c>
      <c r="B3">
        <v>2577</v>
      </c>
      <c r="C3">
        <v>6</v>
      </c>
      <c r="D3" s="1">
        <f>Table6[[#This Row],['# with Full 
Medical Exemption]]/Table6[[#This Row],['# of Students]]</f>
        <v>2.3282887077997671E-3</v>
      </c>
      <c r="E3">
        <v>0</v>
      </c>
      <c r="F3" s="1">
        <f>Table6[[#This Row],['# UTD with 
Partial Medical Exemption]]/Table6[[#This Row],['# of Students]]</f>
        <v>0</v>
      </c>
      <c r="G3">
        <v>144</v>
      </c>
      <c r="H3" s="1">
        <f>Table6[[#This Row],['# with Full 
Religous Exemption]]/Table6[[#This Row],['# of Students]]</f>
        <v>5.5878928987194411E-2</v>
      </c>
      <c r="I3">
        <v>0</v>
      </c>
      <c r="J3" s="1">
        <f>Table6[[#This Row],['# UTD with 
Partial Religious Exemption]]/Table6[[#This Row],['# of Students]]</f>
        <v>0</v>
      </c>
    </row>
    <row r="4" spans="1:10" x14ac:dyDescent="0.25">
      <c r="A4" t="s">
        <v>4</v>
      </c>
      <c r="B4">
        <v>239</v>
      </c>
      <c r="C4">
        <v>1</v>
      </c>
      <c r="D4" s="1">
        <f>Table6[[#This Row],['# with Full 
Medical Exemption]]/Table6[[#This Row],['# of Students]]</f>
        <v>4.1841004184100415E-3</v>
      </c>
      <c r="E4">
        <v>0</v>
      </c>
      <c r="F4" s="1">
        <f>Table6[[#This Row],['# UTD with 
Partial Medical Exemption]]/Table6[[#This Row],['# of Students]]</f>
        <v>0</v>
      </c>
      <c r="G4">
        <v>1</v>
      </c>
      <c r="H4" s="1">
        <f>Table6[[#This Row],['# with Full 
Religous Exemption]]/Table6[[#This Row],['# of Students]]</f>
        <v>4.1841004184100415E-3</v>
      </c>
      <c r="I4">
        <v>0</v>
      </c>
      <c r="J4" s="1">
        <f>Table6[[#This Row],['# UTD with 
Partial Religious Exemption]]/Table6[[#This Row],['# of Students]]</f>
        <v>0</v>
      </c>
    </row>
    <row r="5" spans="1:10" x14ac:dyDescent="0.25">
      <c r="A5" t="s">
        <v>5</v>
      </c>
      <c r="B5">
        <v>245</v>
      </c>
      <c r="C5">
        <v>0</v>
      </c>
      <c r="D5" s="1">
        <f>Table6[[#This Row],['# with Full 
Medical Exemption]]/Table6[[#This Row],['# of Students]]</f>
        <v>0</v>
      </c>
      <c r="E5">
        <v>0</v>
      </c>
      <c r="F5" s="1">
        <f>Table6[[#This Row],['# UTD with 
Partial Medical Exemption]]/Table6[[#This Row],['# of Students]]</f>
        <v>0</v>
      </c>
      <c r="G5">
        <v>1</v>
      </c>
      <c r="H5" s="1">
        <f>Table6[[#This Row],['# with Full 
Religous Exemption]]/Table6[[#This Row],['# of Students]]</f>
        <v>4.0816326530612249E-3</v>
      </c>
      <c r="I5">
        <v>0</v>
      </c>
      <c r="J5" s="1">
        <f>Table6[[#This Row],['# UTD with 
Partial Religious Exemption]]/Table6[[#This Row],['# of Students]]</f>
        <v>0</v>
      </c>
    </row>
    <row r="6" spans="1:10" x14ac:dyDescent="0.25">
      <c r="A6" t="s">
        <v>6</v>
      </c>
      <c r="B6">
        <v>705</v>
      </c>
      <c r="C6">
        <v>0</v>
      </c>
      <c r="D6" s="1">
        <f>Table6[[#This Row],['# with Full 
Medical Exemption]]/Table6[[#This Row],['# of Students]]</f>
        <v>0</v>
      </c>
      <c r="E6">
        <v>0</v>
      </c>
      <c r="F6" s="1">
        <f>Table6[[#This Row],['# UTD with 
Partial Medical Exemption]]/Table6[[#This Row],['# of Students]]</f>
        <v>0</v>
      </c>
      <c r="G6">
        <v>20</v>
      </c>
      <c r="H6" s="1">
        <f>Table6[[#This Row],['# with Full 
Religous Exemption]]/Table6[[#This Row],['# of Students]]</f>
        <v>2.8368794326241134E-2</v>
      </c>
      <c r="I6">
        <v>0</v>
      </c>
      <c r="J6" s="1">
        <f>Table6[[#This Row],['# UTD with 
Partial Religious Exemption]]/Table6[[#This Row],['# of Students]]</f>
        <v>0</v>
      </c>
    </row>
    <row r="7" spans="1:10" x14ac:dyDescent="0.25">
      <c r="A7" t="s">
        <v>7</v>
      </c>
      <c r="B7">
        <v>117</v>
      </c>
      <c r="C7">
        <v>0</v>
      </c>
      <c r="D7" s="1">
        <f>Table6[[#This Row],['# with Full 
Medical Exemption]]/Table6[[#This Row],['# of Students]]</f>
        <v>0</v>
      </c>
      <c r="E7">
        <v>0</v>
      </c>
      <c r="F7" s="1">
        <f>Table6[[#This Row],['# UTD with 
Partial Medical Exemption]]/Table6[[#This Row],['# of Students]]</f>
        <v>0</v>
      </c>
      <c r="G7">
        <v>0</v>
      </c>
      <c r="H7" s="1">
        <f>Table6[[#This Row],['# with Full 
Religous Exemption]]/Table6[[#This Row],['# of Students]]</f>
        <v>0</v>
      </c>
      <c r="I7">
        <v>0</v>
      </c>
      <c r="J7" s="1">
        <f>Table6[[#This Row],['# UTD with 
Partial Religious Exemption]]/Table6[[#This Row],['# of Students]]</f>
        <v>0</v>
      </c>
    </row>
    <row r="8" spans="1:10" x14ac:dyDescent="0.25">
      <c r="A8" t="s">
        <v>8</v>
      </c>
      <c r="B8">
        <v>158</v>
      </c>
      <c r="C8">
        <v>0</v>
      </c>
      <c r="D8" s="1">
        <f>Table6[[#This Row],['# with Full 
Medical Exemption]]/Table6[[#This Row],['# of Students]]</f>
        <v>0</v>
      </c>
      <c r="E8">
        <v>0</v>
      </c>
      <c r="F8" s="1">
        <f>Table6[[#This Row],['# UTD with 
Partial Medical Exemption]]/Table6[[#This Row],['# of Students]]</f>
        <v>0</v>
      </c>
      <c r="G8">
        <v>3</v>
      </c>
      <c r="H8" s="1">
        <f>Table6[[#This Row],['# with Full 
Religous Exemption]]/Table6[[#This Row],['# of Students]]</f>
        <v>1.8987341772151899E-2</v>
      </c>
      <c r="I8">
        <v>0</v>
      </c>
      <c r="J8" s="1">
        <f>Table6[[#This Row],['# UTD with 
Partial Religious Exemption]]/Table6[[#This Row],['# of Students]]</f>
        <v>0</v>
      </c>
    </row>
    <row r="9" spans="1:10" x14ac:dyDescent="0.25">
      <c r="A9" t="s">
        <v>9</v>
      </c>
      <c r="B9">
        <v>1343</v>
      </c>
      <c r="C9">
        <v>0</v>
      </c>
      <c r="D9" s="1">
        <f>Table6[[#This Row],['# with Full 
Medical Exemption]]/Table6[[#This Row],['# of Students]]</f>
        <v>0</v>
      </c>
      <c r="E9">
        <v>0</v>
      </c>
      <c r="F9" s="1">
        <f>Table6[[#This Row],['# UTD with 
Partial Medical Exemption]]/Table6[[#This Row],['# of Students]]</f>
        <v>0</v>
      </c>
      <c r="G9">
        <v>46</v>
      </c>
      <c r="H9" s="1">
        <f>Table6[[#This Row],['# with Full 
Religous Exemption]]/Table6[[#This Row],['# of Students]]</f>
        <v>3.4251675353685777E-2</v>
      </c>
      <c r="I9">
        <v>0</v>
      </c>
      <c r="J9" s="1">
        <f>Table6[[#This Row],['# UTD with 
Partial Religious Exemption]]/Table6[[#This Row],['# of Students]]</f>
        <v>0</v>
      </c>
    </row>
    <row r="10" spans="1:10" x14ac:dyDescent="0.25">
      <c r="A10" t="s">
        <v>10</v>
      </c>
      <c r="B10">
        <v>275</v>
      </c>
      <c r="C10">
        <v>0</v>
      </c>
      <c r="D10" s="1">
        <f>Table6[[#This Row],['# with Full 
Medical Exemption]]/Table6[[#This Row],['# of Students]]</f>
        <v>0</v>
      </c>
      <c r="E10">
        <v>0</v>
      </c>
      <c r="F10" s="1">
        <f>Table6[[#This Row],['# UTD with 
Partial Medical Exemption]]/Table6[[#This Row],['# of Students]]</f>
        <v>0</v>
      </c>
      <c r="G10">
        <v>3</v>
      </c>
      <c r="H10" s="1">
        <f>Table6[[#This Row],['# with Full 
Religous Exemption]]/Table6[[#This Row],['# of Students]]</f>
        <v>1.090909090909091E-2</v>
      </c>
      <c r="I10">
        <v>0</v>
      </c>
      <c r="J10" s="1">
        <f>Table6[[#This Row],['# UTD with 
Partial Religious Exemption]]/Table6[[#This Row],['# of Students]]</f>
        <v>0</v>
      </c>
    </row>
    <row r="11" spans="1:10" x14ac:dyDescent="0.25">
      <c r="A11" t="s">
        <v>11</v>
      </c>
      <c r="B11">
        <v>307</v>
      </c>
      <c r="C11">
        <v>0</v>
      </c>
      <c r="D11" s="1">
        <f>Table6[[#This Row],['# with Full 
Medical Exemption]]/Table6[[#This Row],['# of Students]]</f>
        <v>0</v>
      </c>
      <c r="E11">
        <v>0</v>
      </c>
      <c r="F11" s="1">
        <f>Table6[[#This Row],['# UTD with 
Partial Medical Exemption]]/Table6[[#This Row],['# of Students]]</f>
        <v>0</v>
      </c>
      <c r="G11">
        <v>3</v>
      </c>
      <c r="H11" s="1">
        <f>Table6[[#This Row],['# with Full 
Religous Exemption]]/Table6[[#This Row],['# of Students]]</f>
        <v>9.7719869706840382E-3</v>
      </c>
      <c r="I11">
        <v>0</v>
      </c>
      <c r="J11" s="1">
        <f>Table6[[#This Row],['# UTD with 
Partial Religious Exemption]]/Table6[[#This Row],['# of Students]]</f>
        <v>0</v>
      </c>
    </row>
    <row r="12" spans="1:10" x14ac:dyDescent="0.25">
      <c r="A12" t="s">
        <v>12</v>
      </c>
      <c r="B12">
        <v>392</v>
      </c>
      <c r="C12">
        <v>0</v>
      </c>
      <c r="D12" s="1">
        <f>Table6[[#This Row],['# with Full 
Medical Exemption]]/Table6[[#This Row],['# of Students]]</f>
        <v>0</v>
      </c>
      <c r="E12">
        <v>0</v>
      </c>
      <c r="F12" s="1">
        <f>Table6[[#This Row],['# UTD with 
Partial Medical Exemption]]/Table6[[#This Row],['# of Students]]</f>
        <v>0</v>
      </c>
      <c r="G12">
        <v>5</v>
      </c>
      <c r="H12" s="1">
        <f>Table6[[#This Row],['# with Full 
Religous Exemption]]/Table6[[#This Row],['# of Students]]</f>
        <v>1.2755102040816327E-2</v>
      </c>
      <c r="I12">
        <v>0</v>
      </c>
      <c r="J12" s="1">
        <f>Table6[[#This Row],['# UTD with 
Partial Religious Exemption]]/Table6[[#This Row],['# of Students]]</f>
        <v>0</v>
      </c>
    </row>
    <row r="13" spans="1:10" x14ac:dyDescent="0.25">
      <c r="A13" t="s">
        <v>13</v>
      </c>
      <c r="B13">
        <v>71</v>
      </c>
      <c r="C13">
        <v>0</v>
      </c>
      <c r="D13" s="1">
        <f>Table6[[#This Row],['# with Full 
Medical Exemption]]/Table6[[#This Row],['# of Students]]</f>
        <v>0</v>
      </c>
      <c r="E13">
        <v>0</v>
      </c>
      <c r="F13" s="1">
        <f>Table6[[#This Row],['# UTD with 
Partial Medical Exemption]]/Table6[[#This Row],['# of Students]]</f>
        <v>0</v>
      </c>
      <c r="G13">
        <v>1</v>
      </c>
      <c r="H13" s="1">
        <f>Table6[[#This Row],['# with Full 
Religous Exemption]]/Table6[[#This Row],['# of Students]]</f>
        <v>1.4084507042253521E-2</v>
      </c>
      <c r="I13">
        <v>0</v>
      </c>
      <c r="J13" s="1">
        <f>Table6[[#This Row],['# UTD with 
Partial Religious Exemption]]/Table6[[#This Row],['# of Students]]</f>
        <v>0</v>
      </c>
    </row>
    <row r="14" spans="1:10" x14ac:dyDescent="0.25">
      <c r="A14" t="s">
        <v>14</v>
      </c>
      <c r="B14">
        <v>239</v>
      </c>
      <c r="C14">
        <v>0</v>
      </c>
      <c r="D14" s="1">
        <f>Table6[[#This Row],['# with Full 
Medical Exemption]]/Table6[[#This Row],['# of Students]]</f>
        <v>0</v>
      </c>
      <c r="E14">
        <v>0</v>
      </c>
      <c r="F14" s="1">
        <f>Table6[[#This Row],['# UTD with 
Partial Medical Exemption]]/Table6[[#This Row],['# of Students]]</f>
        <v>0</v>
      </c>
      <c r="G14">
        <v>2</v>
      </c>
      <c r="H14" s="1">
        <f>Table6[[#This Row],['# with Full 
Religous Exemption]]/Table6[[#This Row],['# of Students]]</f>
        <v>8.368200836820083E-3</v>
      </c>
      <c r="I14">
        <v>0</v>
      </c>
      <c r="J14" s="1">
        <f>Table6[[#This Row],['# UTD with 
Partial Religious Exemption]]/Table6[[#This Row],['# of Students]]</f>
        <v>0</v>
      </c>
    </row>
    <row r="15" spans="1:10" x14ac:dyDescent="0.25">
      <c r="A15" t="s">
        <v>15</v>
      </c>
      <c r="B15">
        <v>198</v>
      </c>
      <c r="C15">
        <v>0</v>
      </c>
      <c r="D15" s="1">
        <f>Table6[[#This Row],['# with Full 
Medical Exemption]]/Table6[[#This Row],['# of Students]]</f>
        <v>0</v>
      </c>
      <c r="E15">
        <v>1</v>
      </c>
      <c r="F15" s="1">
        <f>Table6[[#This Row],['# UTD with 
Partial Medical Exemption]]/Table6[[#This Row],['# of Students]]</f>
        <v>5.0505050505050509E-3</v>
      </c>
      <c r="G15">
        <v>8</v>
      </c>
      <c r="H15" s="1">
        <f>Table6[[#This Row],['# with Full 
Religous Exemption]]/Table6[[#This Row],['# of Students]]</f>
        <v>4.0404040404040407E-2</v>
      </c>
      <c r="I15">
        <v>0</v>
      </c>
      <c r="J15" s="1">
        <f>Table6[[#This Row],['# UTD with 
Partial Religious Exemption]]/Table6[[#This Row],['# of Students]]</f>
        <v>0</v>
      </c>
    </row>
    <row r="16" spans="1:10" x14ac:dyDescent="0.25">
      <c r="A16" t="s">
        <v>16</v>
      </c>
      <c r="B16">
        <v>187</v>
      </c>
      <c r="C16">
        <v>0</v>
      </c>
      <c r="D16" s="1">
        <f>Table6[[#This Row],['# with Full 
Medical Exemption]]/Table6[[#This Row],['# of Students]]</f>
        <v>0</v>
      </c>
      <c r="E16">
        <v>0</v>
      </c>
      <c r="F16" s="1">
        <f>Table6[[#This Row],['# UTD with 
Partial Medical Exemption]]/Table6[[#This Row],['# of Students]]</f>
        <v>0</v>
      </c>
      <c r="G16">
        <v>7</v>
      </c>
      <c r="H16" s="1">
        <f>Table6[[#This Row],['# with Full 
Religous Exemption]]/Table6[[#This Row],['# of Students]]</f>
        <v>3.7433155080213901E-2</v>
      </c>
      <c r="I16">
        <v>0</v>
      </c>
      <c r="J16" s="1">
        <f>Table6[[#This Row],['# UTD with 
Partial Religious Exemption]]/Table6[[#This Row],['# of Students]]</f>
        <v>0</v>
      </c>
    </row>
    <row r="17" spans="1:10" x14ac:dyDescent="0.25">
      <c r="A17" t="s">
        <v>17</v>
      </c>
      <c r="B17">
        <v>620</v>
      </c>
      <c r="C17">
        <v>0</v>
      </c>
      <c r="D17" s="1">
        <f>Table6[[#This Row],['# with Full 
Medical Exemption]]/Table6[[#This Row],['# of Students]]</f>
        <v>0</v>
      </c>
      <c r="E17">
        <v>0</v>
      </c>
      <c r="F17" s="1">
        <f>Table6[[#This Row],['# UTD with 
Partial Medical Exemption]]/Table6[[#This Row],['# of Students]]</f>
        <v>0</v>
      </c>
      <c r="G17">
        <v>18</v>
      </c>
      <c r="H17" s="1">
        <f>Table6[[#This Row],['# with Full 
Religous Exemption]]/Table6[[#This Row],['# of Students]]</f>
        <v>2.903225806451613E-2</v>
      </c>
      <c r="I17">
        <v>0</v>
      </c>
      <c r="J17" s="1">
        <f>Table6[[#This Row],['# UTD with 
Partial Religious Exemption]]/Table6[[#This Row],['# of Students]]</f>
        <v>0</v>
      </c>
    </row>
    <row r="18" spans="1:10" x14ac:dyDescent="0.25">
      <c r="A18" t="s">
        <v>18</v>
      </c>
      <c r="B18">
        <v>621</v>
      </c>
      <c r="C18">
        <v>0</v>
      </c>
      <c r="D18" s="1">
        <f>Table6[[#This Row],['# with Full 
Medical Exemption]]/Table6[[#This Row],['# of Students]]</f>
        <v>0</v>
      </c>
      <c r="E18">
        <v>0</v>
      </c>
      <c r="F18" s="1">
        <f>Table6[[#This Row],['# UTD with 
Partial Medical Exemption]]/Table6[[#This Row],['# of Students]]</f>
        <v>0</v>
      </c>
      <c r="G18">
        <v>15</v>
      </c>
      <c r="H18" s="1">
        <f>Table6[[#This Row],['# with Full 
Religous Exemption]]/Table6[[#This Row],['# of Students]]</f>
        <v>2.4154589371980676E-2</v>
      </c>
      <c r="I18">
        <v>0</v>
      </c>
      <c r="J18" s="1">
        <f>Table6[[#This Row],['# UTD with 
Partial Religious Exemption]]/Table6[[#This Row],['# of Students]]</f>
        <v>0</v>
      </c>
    </row>
    <row r="19" spans="1:10" x14ac:dyDescent="0.25">
      <c r="A19" t="s">
        <v>19</v>
      </c>
      <c r="B19">
        <v>86</v>
      </c>
      <c r="C19">
        <v>0</v>
      </c>
      <c r="D19" s="1">
        <f>Table6[[#This Row],['# with Full 
Medical Exemption]]/Table6[[#This Row],['# of Students]]</f>
        <v>0</v>
      </c>
      <c r="E19">
        <v>0</v>
      </c>
      <c r="F19" s="1">
        <f>Table6[[#This Row],['# UTD with 
Partial Medical Exemption]]/Table6[[#This Row],['# of Students]]</f>
        <v>0</v>
      </c>
      <c r="G19">
        <v>1</v>
      </c>
      <c r="H19" s="1">
        <f>Table6[[#This Row],['# with Full 
Religous Exemption]]/Table6[[#This Row],['# of Students]]</f>
        <v>1.1627906976744186E-2</v>
      </c>
      <c r="I19">
        <v>0</v>
      </c>
      <c r="J19" s="1">
        <f>Table6[[#This Row],['# UTD with 
Partial Religious Exemption]]/Table6[[#This Row],['# of Students]]</f>
        <v>0</v>
      </c>
    </row>
    <row r="20" spans="1:10" x14ac:dyDescent="0.25">
      <c r="A20" t="s">
        <v>20</v>
      </c>
      <c r="B20">
        <v>66</v>
      </c>
      <c r="C20">
        <v>0</v>
      </c>
      <c r="D20" s="1">
        <f>Table6[[#This Row],['# with Full 
Medical Exemption]]/Table6[[#This Row],['# of Students]]</f>
        <v>0</v>
      </c>
      <c r="E20">
        <v>0</v>
      </c>
      <c r="F20" s="1">
        <f>Table6[[#This Row],['# UTD with 
Partial Medical Exemption]]/Table6[[#This Row],['# of Students]]</f>
        <v>0</v>
      </c>
      <c r="G20">
        <v>0</v>
      </c>
      <c r="H20" s="1">
        <f>Table6[[#This Row],['# with Full 
Religous Exemption]]/Table6[[#This Row],['# of Students]]</f>
        <v>0</v>
      </c>
      <c r="I20">
        <v>0</v>
      </c>
      <c r="J20" s="1">
        <f>Table6[[#This Row],['# UTD with 
Partial Religious Exemption]]/Table6[[#This Row],['# of Students]]</f>
        <v>0</v>
      </c>
    </row>
    <row r="21" spans="1:10" x14ac:dyDescent="0.25">
      <c r="A21" t="s">
        <v>21</v>
      </c>
      <c r="B21">
        <v>454</v>
      </c>
      <c r="C21">
        <v>1</v>
      </c>
      <c r="D21" s="1">
        <f>Table6[[#This Row],['# with Full 
Medical Exemption]]/Table6[[#This Row],['# of Students]]</f>
        <v>2.2026431718061676E-3</v>
      </c>
      <c r="E21">
        <v>0</v>
      </c>
      <c r="F21" s="1">
        <f>Table6[[#This Row],['# UTD with 
Partial Medical Exemption]]/Table6[[#This Row],['# of Students]]</f>
        <v>0</v>
      </c>
      <c r="G21">
        <v>14</v>
      </c>
      <c r="H21" s="1">
        <f>Table6[[#This Row],['# with Full 
Religous Exemption]]/Table6[[#This Row],['# of Students]]</f>
        <v>3.0837004405286344E-2</v>
      </c>
      <c r="I21">
        <v>1</v>
      </c>
      <c r="J21" s="1">
        <f>Table6[[#This Row],['# UTD with 
Partial Religious Exemption]]/Table6[[#This Row],['# of Students]]</f>
        <v>2.2026431718061676E-3</v>
      </c>
    </row>
    <row r="22" spans="1:10" x14ac:dyDescent="0.25">
      <c r="A22" t="s">
        <v>22</v>
      </c>
      <c r="B22">
        <v>169</v>
      </c>
      <c r="C22">
        <v>0</v>
      </c>
      <c r="D22" s="1">
        <f>Table6[[#This Row],['# with Full 
Medical Exemption]]/Table6[[#This Row],['# of Students]]</f>
        <v>0</v>
      </c>
      <c r="E22">
        <v>0</v>
      </c>
      <c r="F22" s="1">
        <f>Table6[[#This Row],['# UTD with 
Partial Medical Exemption]]/Table6[[#This Row],['# of Students]]</f>
        <v>0</v>
      </c>
      <c r="G22">
        <v>6</v>
      </c>
      <c r="H22" s="1">
        <f>Table6[[#This Row],['# with Full 
Religous Exemption]]/Table6[[#This Row],['# of Students]]</f>
        <v>3.5502958579881658E-2</v>
      </c>
      <c r="I22">
        <v>0</v>
      </c>
      <c r="J22" s="1">
        <f>Table6[[#This Row],['# UTD with 
Partial Religious Exemption]]/Table6[[#This Row],['# of Students]]</f>
        <v>0</v>
      </c>
    </row>
    <row r="23" spans="1:10" x14ac:dyDescent="0.25">
      <c r="A23" t="s">
        <v>23</v>
      </c>
      <c r="B23">
        <v>1049</v>
      </c>
      <c r="C23">
        <v>2</v>
      </c>
      <c r="D23" s="1">
        <f>Table6[[#This Row],['# with Full 
Medical Exemption]]/Table6[[#This Row],['# of Students]]</f>
        <v>1.9065776930409914E-3</v>
      </c>
      <c r="E23">
        <v>0</v>
      </c>
      <c r="F23" s="1">
        <f>Table6[[#This Row],['# UTD with 
Partial Medical Exemption]]/Table6[[#This Row],['# of Students]]</f>
        <v>0</v>
      </c>
      <c r="G23">
        <v>37</v>
      </c>
      <c r="H23" s="1">
        <f>Table6[[#This Row],['# with Full 
Religous Exemption]]/Table6[[#This Row],['# of Students]]</f>
        <v>3.5271687321258342E-2</v>
      </c>
      <c r="I23">
        <v>0</v>
      </c>
      <c r="J23" s="1">
        <f>Table6[[#This Row],['# UTD with 
Partial Religious Exemption]]/Table6[[#This Row],['# of Students]]</f>
        <v>0</v>
      </c>
    </row>
    <row r="24" spans="1:10" x14ac:dyDescent="0.25">
      <c r="A24" t="s">
        <v>24</v>
      </c>
      <c r="B24">
        <v>427</v>
      </c>
      <c r="C24">
        <v>1</v>
      </c>
      <c r="D24" s="1">
        <f>Table6[[#This Row],['# with Full 
Medical Exemption]]/Table6[[#This Row],['# of Students]]</f>
        <v>2.34192037470726E-3</v>
      </c>
      <c r="E24">
        <v>0</v>
      </c>
      <c r="F24" s="1">
        <f>Table6[[#This Row],['# UTD with 
Partial Medical Exemption]]/Table6[[#This Row],['# of Students]]</f>
        <v>0</v>
      </c>
      <c r="G24">
        <v>10</v>
      </c>
      <c r="H24" s="1">
        <f>Table6[[#This Row],['# with Full 
Religous Exemption]]/Table6[[#This Row],['# of Students]]</f>
        <v>2.3419203747072601E-2</v>
      </c>
      <c r="I24">
        <v>1</v>
      </c>
      <c r="J24" s="1">
        <f>Table6[[#This Row],['# UTD with 
Partial Religious Exemption]]/Table6[[#This Row],['# of Students]]</f>
        <v>2.34192037470726E-3</v>
      </c>
    </row>
    <row r="25" spans="1:10" x14ac:dyDescent="0.25">
      <c r="A25" t="s">
        <v>25</v>
      </c>
      <c r="B25">
        <v>247</v>
      </c>
      <c r="C25">
        <v>1</v>
      </c>
      <c r="D25" s="1">
        <f>Table6[[#This Row],['# with Full 
Medical Exemption]]/Table6[[#This Row],['# of Students]]</f>
        <v>4.048582995951417E-3</v>
      </c>
      <c r="E25">
        <v>0</v>
      </c>
      <c r="F25" s="1">
        <f>Table6[[#This Row],['# UTD with 
Partial Medical Exemption]]/Table6[[#This Row],['# of Students]]</f>
        <v>0</v>
      </c>
      <c r="G25">
        <v>3</v>
      </c>
      <c r="H25" s="1">
        <f>Table6[[#This Row],['# with Full 
Religous Exemption]]/Table6[[#This Row],['# of Students]]</f>
        <v>1.2145748987854251E-2</v>
      </c>
      <c r="I25">
        <v>0</v>
      </c>
      <c r="J25" s="1">
        <f>Table6[[#This Row],['# UTD with 
Partial Religious Exemption]]/Table6[[#This Row],['# of Students]]</f>
        <v>0</v>
      </c>
    </row>
    <row r="26" spans="1:10" x14ac:dyDescent="0.25">
      <c r="A26" t="s">
        <v>26</v>
      </c>
      <c r="B26">
        <v>859</v>
      </c>
      <c r="C26">
        <v>0</v>
      </c>
      <c r="D26" s="1">
        <f>Table6[[#This Row],['# with Full 
Medical Exemption]]/Table6[[#This Row],['# of Students]]</f>
        <v>0</v>
      </c>
      <c r="E26">
        <v>0</v>
      </c>
      <c r="F26" s="1">
        <f>Table6[[#This Row],['# UTD with 
Partial Medical Exemption]]/Table6[[#This Row],['# of Students]]</f>
        <v>0</v>
      </c>
      <c r="G26">
        <v>17</v>
      </c>
      <c r="H26" s="1">
        <f>Table6[[#This Row],['# with Full 
Religous Exemption]]/Table6[[#This Row],['# of Students]]</f>
        <v>1.9790454016298021E-2</v>
      </c>
      <c r="I26">
        <v>0</v>
      </c>
      <c r="J26" s="1">
        <f>Table6[[#This Row],['# UTD with 
Partial Religious Exemption]]/Table6[[#This Row],['# of Students]]</f>
        <v>0</v>
      </c>
    </row>
    <row r="27" spans="1:10" x14ac:dyDescent="0.25">
      <c r="A27" t="s">
        <v>27</v>
      </c>
      <c r="B27">
        <v>1052</v>
      </c>
      <c r="C27">
        <v>1</v>
      </c>
      <c r="D27" s="1">
        <f>Table6[[#This Row],['# with Full 
Medical Exemption]]/Table6[[#This Row],['# of Students]]</f>
        <v>9.5057034220532319E-4</v>
      </c>
      <c r="E27">
        <v>0</v>
      </c>
      <c r="F27" s="1">
        <f>Table6[[#This Row],['# UTD with 
Partial Medical Exemption]]/Table6[[#This Row],['# of Students]]</f>
        <v>0</v>
      </c>
      <c r="G27">
        <v>44</v>
      </c>
      <c r="H27" s="1">
        <f>Table6[[#This Row],['# with Full 
Religous Exemption]]/Table6[[#This Row],['# of Students]]</f>
        <v>4.1825095057034217E-2</v>
      </c>
      <c r="I27">
        <v>0</v>
      </c>
      <c r="J27" s="1">
        <f>Table6[[#This Row],['# UTD with 
Partial Religious Exemption]]/Table6[[#This Row],['# of Students]]</f>
        <v>0</v>
      </c>
    </row>
    <row r="28" spans="1:10" x14ac:dyDescent="0.25">
      <c r="A28" t="s">
        <v>28</v>
      </c>
      <c r="B28">
        <v>294</v>
      </c>
      <c r="C28">
        <v>0</v>
      </c>
      <c r="D28" s="1">
        <f>Table6[[#This Row],['# with Full 
Medical Exemption]]/Table6[[#This Row],['# of Students]]</f>
        <v>0</v>
      </c>
      <c r="E28">
        <v>0</v>
      </c>
      <c r="F28" s="1">
        <f>Table6[[#This Row],['# UTD with 
Partial Medical Exemption]]/Table6[[#This Row],['# of Students]]</f>
        <v>0</v>
      </c>
      <c r="G28">
        <v>5</v>
      </c>
      <c r="H28" s="1">
        <f>Table6[[#This Row],['# with Full 
Religous Exemption]]/Table6[[#This Row],['# of Students]]</f>
        <v>1.7006802721088437E-2</v>
      </c>
      <c r="I28">
        <v>0</v>
      </c>
      <c r="J28" s="1">
        <f>Table6[[#This Row],['# UTD with 
Partial Religious Exemption]]/Table6[[#This Row],['# of Students]]</f>
        <v>0</v>
      </c>
    </row>
    <row r="29" spans="1:10" x14ac:dyDescent="0.25">
      <c r="A29" t="s">
        <v>29</v>
      </c>
      <c r="B29">
        <v>1239</v>
      </c>
      <c r="C29">
        <v>2</v>
      </c>
      <c r="D29" s="1">
        <f>Table6[[#This Row],['# with Full 
Medical Exemption]]/Table6[[#This Row],['# of Students]]</f>
        <v>1.6142050040355124E-3</v>
      </c>
      <c r="E29">
        <v>0</v>
      </c>
      <c r="F29" s="1">
        <f>Table6[[#This Row],['# UTD with 
Partial Medical Exemption]]/Table6[[#This Row],['# of Students]]</f>
        <v>0</v>
      </c>
      <c r="G29">
        <v>38</v>
      </c>
      <c r="H29" s="1">
        <f>Table6[[#This Row],['# with Full 
Religous Exemption]]/Table6[[#This Row],['# of Students]]</f>
        <v>3.0669895076674739E-2</v>
      </c>
      <c r="I29">
        <v>0</v>
      </c>
      <c r="J29" s="1">
        <f>Table6[[#This Row],['# UTD with 
Partial Religious Exemption]]/Table6[[#This Row],['# of Students]]</f>
        <v>0</v>
      </c>
    </row>
    <row r="30" spans="1:10" x14ac:dyDescent="0.25">
      <c r="A30" t="s">
        <v>30</v>
      </c>
      <c r="B30">
        <v>189</v>
      </c>
      <c r="C30">
        <v>0</v>
      </c>
      <c r="D30" s="1">
        <f>Table6[[#This Row],['# with Full 
Medical Exemption]]/Table6[[#This Row],['# of Students]]</f>
        <v>0</v>
      </c>
      <c r="E30">
        <v>0</v>
      </c>
      <c r="F30" s="1">
        <f>Table6[[#This Row],['# UTD with 
Partial Medical Exemption]]/Table6[[#This Row],['# of Students]]</f>
        <v>0</v>
      </c>
      <c r="G30">
        <v>1</v>
      </c>
      <c r="H30" s="1">
        <f>Table6[[#This Row],['# with Full 
Religous Exemption]]/Table6[[#This Row],['# of Students]]</f>
        <v>5.2910052910052907E-3</v>
      </c>
      <c r="I30">
        <v>0</v>
      </c>
      <c r="J30" s="1">
        <f>Table6[[#This Row],['# UTD with 
Partial Religious Exemption]]/Table6[[#This Row],['# of Students]]</f>
        <v>0</v>
      </c>
    </row>
    <row r="31" spans="1:10" x14ac:dyDescent="0.25">
      <c r="A31" t="s">
        <v>31</v>
      </c>
      <c r="B31">
        <v>493</v>
      </c>
      <c r="C31">
        <v>0</v>
      </c>
      <c r="D31" s="1">
        <f>Table6[[#This Row],['# with Full 
Medical Exemption]]/Table6[[#This Row],['# of Students]]</f>
        <v>0</v>
      </c>
      <c r="E31">
        <v>0</v>
      </c>
      <c r="F31" s="1">
        <f>Table6[[#This Row],['# UTD with 
Partial Medical Exemption]]/Table6[[#This Row],['# of Students]]</f>
        <v>0</v>
      </c>
      <c r="G31">
        <v>1</v>
      </c>
      <c r="H31" s="1">
        <f>Table6[[#This Row],['# with Full 
Religous Exemption]]/Table6[[#This Row],['# of Students]]</f>
        <v>2.0283975659229209E-3</v>
      </c>
      <c r="I31">
        <v>0</v>
      </c>
      <c r="J31" s="1">
        <f>Table6[[#This Row],['# UTD with 
Partial Religious Exemption]]/Table6[[#This Row],['# of Students]]</f>
        <v>0</v>
      </c>
    </row>
    <row r="32" spans="1:10" x14ac:dyDescent="0.25">
      <c r="A32" t="s">
        <v>32</v>
      </c>
      <c r="B32">
        <v>334</v>
      </c>
      <c r="C32">
        <v>0</v>
      </c>
      <c r="D32" s="1">
        <f>Table6[[#This Row],['# with Full 
Medical Exemption]]/Table6[[#This Row],['# of Students]]</f>
        <v>0</v>
      </c>
      <c r="E32">
        <v>1</v>
      </c>
      <c r="F32" s="1">
        <f>Table6[[#This Row],['# UTD with 
Partial Medical Exemption]]/Table6[[#This Row],['# of Students]]</f>
        <v>2.9940119760479044E-3</v>
      </c>
      <c r="G32">
        <v>5</v>
      </c>
      <c r="H32" s="1">
        <f>Table6[[#This Row],['# with Full 
Religous Exemption]]/Table6[[#This Row],['# of Students]]</f>
        <v>1.4970059880239521E-2</v>
      </c>
      <c r="I32">
        <v>0</v>
      </c>
      <c r="J32" s="1">
        <f>Table6[[#This Row],['# UTD with 
Partial Religious Exemption]]/Table6[[#This Row],['# of Students]]</f>
        <v>0</v>
      </c>
    </row>
    <row r="33" spans="1:10" x14ac:dyDescent="0.25">
      <c r="A33" t="s">
        <v>33</v>
      </c>
      <c r="B33">
        <v>20</v>
      </c>
      <c r="C33">
        <v>0</v>
      </c>
      <c r="D33" s="1">
        <f>Table6[[#This Row],['# with Full 
Medical Exemption]]/Table6[[#This Row],['# of Students]]</f>
        <v>0</v>
      </c>
      <c r="E33">
        <v>0</v>
      </c>
      <c r="F33" s="1">
        <f>Table6[[#This Row],['# UTD with 
Partial Medical Exemption]]/Table6[[#This Row],['# of Students]]</f>
        <v>0</v>
      </c>
      <c r="G33">
        <v>0</v>
      </c>
      <c r="H33" s="1">
        <f>Table6[[#This Row],['# with Full 
Religous Exemption]]/Table6[[#This Row],['# of Students]]</f>
        <v>0</v>
      </c>
      <c r="I33">
        <v>0</v>
      </c>
      <c r="J33" s="1">
        <f>Table6[[#This Row],['# UTD with 
Partial Religious Exemption]]/Table6[[#This Row],['# of Students]]</f>
        <v>0</v>
      </c>
    </row>
    <row r="34" spans="1:10" x14ac:dyDescent="0.25">
      <c r="A34" t="s">
        <v>34</v>
      </c>
      <c r="B34">
        <v>108</v>
      </c>
      <c r="C34">
        <v>0</v>
      </c>
      <c r="D34" s="1">
        <f>Table6[[#This Row],['# with Full 
Medical Exemption]]/Table6[[#This Row],['# of Students]]</f>
        <v>0</v>
      </c>
      <c r="E34">
        <v>0</v>
      </c>
      <c r="F34" s="1">
        <f>Table6[[#This Row],['# UTD with 
Partial Medical Exemption]]/Table6[[#This Row],['# of Students]]</f>
        <v>0</v>
      </c>
      <c r="G34">
        <v>0</v>
      </c>
      <c r="H34" s="1">
        <f>Table6[[#This Row],['# with Full 
Religous Exemption]]/Table6[[#This Row],['# of Students]]</f>
        <v>0</v>
      </c>
      <c r="I34">
        <v>0</v>
      </c>
      <c r="J34" s="1">
        <f>Table6[[#This Row],['# UTD with 
Partial Religious Exemption]]/Table6[[#This Row],['# of Students]]</f>
        <v>0</v>
      </c>
    </row>
    <row r="35" spans="1:10" x14ac:dyDescent="0.25">
      <c r="A35" t="s">
        <v>35</v>
      </c>
      <c r="B35">
        <v>189</v>
      </c>
      <c r="C35">
        <v>0</v>
      </c>
      <c r="D35" s="1">
        <f>Table6[[#This Row],['# with Full 
Medical Exemption]]/Table6[[#This Row],['# of Students]]</f>
        <v>0</v>
      </c>
      <c r="E35">
        <v>0</v>
      </c>
      <c r="F35" s="1">
        <f>Table6[[#This Row],['# UTD with 
Partial Medical Exemption]]/Table6[[#This Row],['# of Students]]</f>
        <v>0</v>
      </c>
      <c r="G35">
        <v>4</v>
      </c>
      <c r="H35" s="1">
        <f>Table6[[#This Row],['# with Full 
Religous Exemption]]/Table6[[#This Row],['# of Students]]</f>
        <v>2.1164021164021163E-2</v>
      </c>
      <c r="I35">
        <v>0</v>
      </c>
      <c r="J35" s="1">
        <f>Table6[[#This Row],['# UTD with 
Partial Religious Exemption]]/Table6[[#This Row],['# of Students]]</f>
        <v>0</v>
      </c>
    </row>
    <row r="36" spans="1:10" x14ac:dyDescent="0.25">
      <c r="A36" t="s">
        <v>36</v>
      </c>
      <c r="B36">
        <v>1194</v>
      </c>
      <c r="C36">
        <v>3</v>
      </c>
      <c r="D36" s="1">
        <f>Table6[[#This Row],['# with Full 
Medical Exemption]]/Table6[[#This Row],['# of Students]]</f>
        <v>2.5125628140703518E-3</v>
      </c>
      <c r="E36">
        <v>1</v>
      </c>
      <c r="F36" s="1">
        <f>Table6[[#This Row],['# UTD with 
Partial Medical Exemption]]/Table6[[#This Row],['# of Students]]</f>
        <v>8.375209380234506E-4</v>
      </c>
      <c r="G36">
        <v>3</v>
      </c>
      <c r="H36" s="1">
        <f>Table6[[#This Row],['# with Full 
Religous Exemption]]/Table6[[#This Row],['# of Students]]</f>
        <v>2.5125628140703518E-3</v>
      </c>
      <c r="I36">
        <v>3</v>
      </c>
      <c r="J36" s="1">
        <f>Table6[[#This Row],['# UTD with 
Partial Religious Exemption]]/Table6[[#This Row],['# of Students]]</f>
        <v>2.5125628140703518E-3</v>
      </c>
    </row>
    <row r="37" spans="1:10" x14ac:dyDescent="0.25">
      <c r="A37" t="s">
        <v>37</v>
      </c>
      <c r="B37">
        <v>541</v>
      </c>
      <c r="C37">
        <v>0</v>
      </c>
      <c r="D37" s="1">
        <f>Table6[[#This Row],['# with Full 
Medical Exemption]]/Table6[[#This Row],['# of Students]]</f>
        <v>0</v>
      </c>
      <c r="E37">
        <v>0</v>
      </c>
      <c r="F37" s="1">
        <f>Table6[[#This Row],['# UTD with 
Partial Medical Exemption]]/Table6[[#This Row],['# of Students]]</f>
        <v>0</v>
      </c>
      <c r="G37">
        <v>22</v>
      </c>
      <c r="H37" s="1">
        <f>Table6[[#This Row],['# with Full 
Religous Exemption]]/Table6[[#This Row],['# of Students]]</f>
        <v>4.0665434380776341E-2</v>
      </c>
      <c r="I37">
        <v>0</v>
      </c>
      <c r="J37" s="1">
        <f>Table6[[#This Row],['# UTD with 
Partial Religious Exemption]]/Table6[[#This Row],['# of Students]]</f>
        <v>0</v>
      </c>
    </row>
    <row r="38" spans="1:10" x14ac:dyDescent="0.25">
      <c r="A38" t="s">
        <v>38</v>
      </c>
      <c r="B38">
        <v>7184</v>
      </c>
      <c r="C38">
        <v>0</v>
      </c>
      <c r="D38" s="1">
        <f>Table6[[#This Row],['# with Full 
Medical Exemption]]/Table6[[#This Row],['# of Students]]</f>
        <v>0</v>
      </c>
      <c r="E38">
        <v>0</v>
      </c>
      <c r="F38" s="1">
        <f>Table6[[#This Row],['# UTD with 
Partial Medical Exemption]]/Table6[[#This Row],['# of Students]]</f>
        <v>0</v>
      </c>
      <c r="G38">
        <v>102</v>
      </c>
      <c r="H38" s="1">
        <f>Table6[[#This Row],['# with Full 
Religous Exemption]]/Table6[[#This Row],['# of Students]]</f>
        <v>1.4198218262806235E-2</v>
      </c>
      <c r="I38">
        <v>0</v>
      </c>
      <c r="J38" s="1">
        <f>Table6[[#This Row],['# UTD with 
Partial Religious Exemption]]/Table6[[#This Row],['# of Students]]</f>
        <v>0</v>
      </c>
    </row>
    <row r="39" spans="1:10" x14ac:dyDescent="0.25">
      <c r="A39" t="s">
        <v>39</v>
      </c>
      <c r="B39">
        <v>164</v>
      </c>
      <c r="C39">
        <v>0</v>
      </c>
      <c r="D39" s="1">
        <f>Table6[[#This Row],['# with Full 
Medical Exemption]]/Table6[[#This Row],['# of Students]]</f>
        <v>0</v>
      </c>
      <c r="E39">
        <v>0</v>
      </c>
      <c r="F39" s="1">
        <f>Table6[[#This Row],['# UTD with 
Partial Medical Exemption]]/Table6[[#This Row],['# of Students]]</f>
        <v>0</v>
      </c>
      <c r="G39">
        <v>5</v>
      </c>
      <c r="H39" s="1">
        <f>Table6[[#This Row],['# with Full 
Religous Exemption]]/Table6[[#This Row],['# of Students]]</f>
        <v>3.048780487804878E-2</v>
      </c>
      <c r="I39">
        <v>0</v>
      </c>
      <c r="J39" s="1">
        <f>Table6[[#This Row],['# UTD with 
Partial Religious Exemption]]/Table6[[#This Row],['# of Students]]</f>
        <v>0</v>
      </c>
    </row>
    <row r="40" spans="1:10" x14ac:dyDescent="0.25">
      <c r="A40" t="s">
        <v>40</v>
      </c>
      <c r="B40">
        <v>1035</v>
      </c>
      <c r="C40">
        <v>1</v>
      </c>
      <c r="D40" s="1">
        <f>Table6[[#This Row],['# with Full 
Medical Exemption]]/Table6[[#This Row],['# of Students]]</f>
        <v>9.6618357487922703E-4</v>
      </c>
      <c r="E40">
        <v>0</v>
      </c>
      <c r="F40" s="1">
        <f>Table6[[#This Row],['# UTD with 
Partial Medical Exemption]]/Table6[[#This Row],['# of Students]]</f>
        <v>0</v>
      </c>
      <c r="G40">
        <v>26</v>
      </c>
      <c r="H40" s="1">
        <f>Table6[[#This Row],['# with Full 
Religous Exemption]]/Table6[[#This Row],['# of Students]]</f>
        <v>2.5120772946859903E-2</v>
      </c>
      <c r="I40">
        <v>0</v>
      </c>
      <c r="J40" s="1">
        <f>Table6[[#This Row],['# UTD with 
Partial Religious Exemption]]/Table6[[#This Row],['# of Students]]</f>
        <v>0</v>
      </c>
    </row>
    <row r="41" spans="1:10" x14ac:dyDescent="0.25">
      <c r="A41" t="s">
        <v>41</v>
      </c>
      <c r="B41">
        <v>307</v>
      </c>
      <c r="C41">
        <v>0</v>
      </c>
      <c r="D41" s="1">
        <f>Table6[[#This Row],['# with Full 
Medical Exemption]]/Table6[[#This Row],['# of Students]]</f>
        <v>0</v>
      </c>
      <c r="E41">
        <v>0</v>
      </c>
      <c r="F41" s="1">
        <f>Table6[[#This Row],['# UTD with 
Partial Medical Exemption]]/Table6[[#This Row],['# of Students]]</f>
        <v>0</v>
      </c>
      <c r="G41">
        <v>9</v>
      </c>
      <c r="H41" s="1">
        <f>Table6[[#This Row],['# with Full 
Religous Exemption]]/Table6[[#This Row],['# of Students]]</f>
        <v>2.9315960912052116E-2</v>
      </c>
      <c r="I41">
        <v>0</v>
      </c>
      <c r="J41" s="1">
        <f>Table6[[#This Row],['# UTD with 
Partial Religious Exemption]]/Table6[[#This Row],['# of Students]]</f>
        <v>0</v>
      </c>
    </row>
    <row r="42" spans="1:10" x14ac:dyDescent="0.25">
      <c r="A42" t="s">
        <v>42</v>
      </c>
      <c r="B42">
        <v>1740</v>
      </c>
      <c r="C42">
        <v>3</v>
      </c>
      <c r="D42" s="1">
        <f>Table6[[#This Row],['# with Full 
Medical Exemption]]/Table6[[#This Row],['# of Students]]</f>
        <v>1.7241379310344827E-3</v>
      </c>
      <c r="E42">
        <v>0</v>
      </c>
      <c r="F42" s="1">
        <f>Table6[[#This Row],['# UTD with 
Partial Medical Exemption]]/Table6[[#This Row],['# of Students]]</f>
        <v>0</v>
      </c>
      <c r="G42">
        <v>30</v>
      </c>
      <c r="H42" s="1">
        <f>Table6[[#This Row],['# with Full 
Religous Exemption]]/Table6[[#This Row],['# of Students]]</f>
        <v>1.7241379310344827E-2</v>
      </c>
      <c r="I42">
        <v>0</v>
      </c>
      <c r="J42" s="1">
        <f>Table6[[#This Row],['# UTD with 
Partial Religious Exemption]]/Table6[[#This Row],['# of Students]]</f>
        <v>0</v>
      </c>
    </row>
    <row r="43" spans="1:10" x14ac:dyDescent="0.25">
      <c r="A43" t="s">
        <v>43</v>
      </c>
      <c r="B43">
        <v>970</v>
      </c>
      <c r="C43">
        <v>2</v>
      </c>
      <c r="D43" s="1">
        <f>Table6[[#This Row],['# with Full 
Medical Exemption]]/Table6[[#This Row],['# of Students]]</f>
        <v>2.0618556701030928E-3</v>
      </c>
      <c r="E43">
        <v>0</v>
      </c>
      <c r="F43" s="1">
        <f>Table6[[#This Row],['# UTD with 
Partial Medical Exemption]]/Table6[[#This Row],['# of Students]]</f>
        <v>0</v>
      </c>
      <c r="G43">
        <v>24</v>
      </c>
      <c r="H43" s="1">
        <f>Table6[[#This Row],['# with Full 
Religous Exemption]]/Table6[[#This Row],['# of Students]]</f>
        <v>2.4742268041237112E-2</v>
      </c>
      <c r="I43">
        <v>0</v>
      </c>
      <c r="J43" s="1">
        <f>Table6[[#This Row],['# UTD with 
Partial Religious Exemption]]/Table6[[#This Row],['# of Students]]</f>
        <v>0</v>
      </c>
    </row>
    <row r="44" spans="1:10" x14ac:dyDescent="0.25">
      <c r="A44" t="s">
        <v>44</v>
      </c>
      <c r="B44">
        <v>111</v>
      </c>
      <c r="C44">
        <v>0</v>
      </c>
      <c r="D44" s="1">
        <f>Table6[[#This Row],['# with Full 
Medical Exemption]]/Table6[[#This Row],['# of Students]]</f>
        <v>0</v>
      </c>
      <c r="E44">
        <v>0</v>
      </c>
      <c r="F44" s="1">
        <f>Table6[[#This Row],['# UTD with 
Partial Medical Exemption]]/Table6[[#This Row],['# of Students]]</f>
        <v>0</v>
      </c>
      <c r="G44">
        <v>4</v>
      </c>
      <c r="H44" s="1">
        <f>Table6[[#This Row],['# with Full 
Religous Exemption]]/Table6[[#This Row],['# of Students]]</f>
        <v>3.6036036036036036E-2</v>
      </c>
      <c r="I44">
        <v>0</v>
      </c>
      <c r="J44" s="1">
        <f>Table6[[#This Row],['# UTD with 
Partial Religious Exemption]]/Table6[[#This Row],['# of Students]]</f>
        <v>0</v>
      </c>
    </row>
    <row r="45" spans="1:10" x14ac:dyDescent="0.25">
      <c r="A45" t="s">
        <v>45</v>
      </c>
      <c r="B45">
        <v>129</v>
      </c>
      <c r="C45">
        <v>0</v>
      </c>
      <c r="D45" s="1">
        <f>Table6[[#This Row],['# with Full 
Medical Exemption]]/Table6[[#This Row],['# of Students]]</f>
        <v>0</v>
      </c>
      <c r="E45">
        <v>0</v>
      </c>
      <c r="F45" s="1">
        <f>Table6[[#This Row],['# UTD with 
Partial Medical Exemption]]/Table6[[#This Row],['# of Students]]</f>
        <v>0</v>
      </c>
      <c r="G45">
        <v>3</v>
      </c>
      <c r="H45" s="1">
        <f>Table6[[#This Row],['# with Full 
Religous Exemption]]/Table6[[#This Row],['# of Students]]</f>
        <v>2.3255813953488372E-2</v>
      </c>
      <c r="I45">
        <v>0</v>
      </c>
      <c r="J45" s="1">
        <f>Table6[[#This Row],['# UTD with 
Partial Religious Exemption]]/Table6[[#This Row],['# of Students]]</f>
        <v>0</v>
      </c>
    </row>
    <row r="46" spans="1:10" x14ac:dyDescent="0.25">
      <c r="A46" t="s">
        <v>46</v>
      </c>
      <c r="B46">
        <v>4190</v>
      </c>
      <c r="C46">
        <v>2</v>
      </c>
      <c r="D46" s="1">
        <f>Table6[[#This Row],['# with Full 
Medical Exemption]]/Table6[[#This Row],['# of Students]]</f>
        <v>4.7732696897374703E-4</v>
      </c>
      <c r="E46">
        <v>2</v>
      </c>
      <c r="F46" s="1">
        <f>Table6[[#This Row],['# UTD with 
Partial Medical Exemption]]/Table6[[#This Row],['# of Students]]</f>
        <v>4.7732696897374703E-4</v>
      </c>
      <c r="G46">
        <v>63</v>
      </c>
      <c r="H46" s="1">
        <f>Table6[[#This Row],['# with Full 
Religous Exemption]]/Table6[[#This Row],['# of Students]]</f>
        <v>1.5035799522673031E-2</v>
      </c>
      <c r="I46">
        <v>1</v>
      </c>
      <c r="J46" s="1">
        <f>Table6[[#This Row],['# UTD with 
Partial Religious Exemption]]/Table6[[#This Row],['# of Students]]</f>
        <v>2.3866348448687351E-4</v>
      </c>
    </row>
    <row r="47" spans="1:10" x14ac:dyDescent="0.25">
      <c r="A47" t="s">
        <v>47</v>
      </c>
      <c r="B47">
        <v>226</v>
      </c>
      <c r="C47">
        <v>0</v>
      </c>
      <c r="D47" s="1">
        <f>Table6[[#This Row],['# with Full 
Medical Exemption]]/Table6[[#This Row],['# of Students]]</f>
        <v>0</v>
      </c>
      <c r="E47">
        <v>0</v>
      </c>
      <c r="F47" s="1">
        <f>Table6[[#This Row],['# UTD with 
Partial Medical Exemption]]/Table6[[#This Row],['# of Students]]</f>
        <v>0</v>
      </c>
      <c r="G47">
        <v>5</v>
      </c>
      <c r="H47" s="1">
        <f>Table6[[#This Row],['# with Full 
Religous Exemption]]/Table6[[#This Row],['# of Students]]</f>
        <v>2.2123893805309734E-2</v>
      </c>
      <c r="I47">
        <v>0</v>
      </c>
      <c r="J47" s="1">
        <f>Table6[[#This Row],['# UTD with 
Partial Religious Exemption]]/Table6[[#This Row],['# of Students]]</f>
        <v>0</v>
      </c>
    </row>
    <row r="48" spans="1:10" x14ac:dyDescent="0.25">
      <c r="A48" t="s">
        <v>48</v>
      </c>
      <c r="B48">
        <v>370</v>
      </c>
      <c r="C48">
        <v>1</v>
      </c>
      <c r="D48" s="1">
        <f>Table6[[#This Row],['# with Full 
Medical Exemption]]/Table6[[#This Row],['# of Students]]</f>
        <v>2.7027027027027029E-3</v>
      </c>
      <c r="E48">
        <v>0</v>
      </c>
      <c r="F48" s="1">
        <f>Table6[[#This Row],['# UTD with 
Partial Medical Exemption]]/Table6[[#This Row],['# of Students]]</f>
        <v>0</v>
      </c>
      <c r="G48">
        <v>3</v>
      </c>
      <c r="H48" s="1">
        <f>Table6[[#This Row],['# with Full 
Religous Exemption]]/Table6[[#This Row],['# of Students]]</f>
        <v>8.1081081081081086E-3</v>
      </c>
      <c r="I48">
        <v>0</v>
      </c>
      <c r="J48" s="1">
        <f>Table6[[#This Row],['# UTD with 
Partial Religious Exemption]]/Table6[[#This Row],['# of Students]]</f>
        <v>0</v>
      </c>
    </row>
    <row r="49" spans="1:10" x14ac:dyDescent="0.25">
      <c r="A49" t="s">
        <v>49</v>
      </c>
      <c r="B49">
        <v>1375</v>
      </c>
      <c r="C49">
        <v>0</v>
      </c>
      <c r="D49" s="1">
        <f>Table6[[#This Row],['# with Full 
Medical Exemption]]/Table6[[#This Row],['# of Students]]</f>
        <v>0</v>
      </c>
      <c r="E49">
        <v>0</v>
      </c>
      <c r="F49" s="1">
        <f>Table6[[#This Row],['# UTD with 
Partial Medical Exemption]]/Table6[[#This Row],['# of Students]]</f>
        <v>0</v>
      </c>
      <c r="G49">
        <v>19</v>
      </c>
      <c r="H49" s="1">
        <f>Table6[[#This Row],['# with Full 
Religous Exemption]]/Table6[[#This Row],['# of Students]]</f>
        <v>1.3818181818181818E-2</v>
      </c>
      <c r="I49">
        <v>0</v>
      </c>
      <c r="J49" s="1">
        <f>Table6[[#This Row],['# UTD with 
Partial Religious Exemption]]/Table6[[#This Row],['# of Students]]</f>
        <v>0</v>
      </c>
    </row>
    <row r="50" spans="1:10" x14ac:dyDescent="0.25">
      <c r="A50" t="s">
        <v>50</v>
      </c>
      <c r="B50">
        <v>4592</v>
      </c>
      <c r="C50">
        <v>7</v>
      </c>
      <c r="D50" s="1">
        <f>Table6[[#This Row],['# with Full 
Medical Exemption]]/Table6[[#This Row],['# of Students]]</f>
        <v>1.5243902439024391E-3</v>
      </c>
      <c r="E50">
        <v>0</v>
      </c>
      <c r="F50" s="1">
        <f>Table6[[#This Row],['# UTD with 
Partial Medical Exemption]]/Table6[[#This Row],['# of Students]]</f>
        <v>0</v>
      </c>
      <c r="G50">
        <v>105</v>
      </c>
      <c r="H50" s="1">
        <f>Table6[[#This Row],['# with Full 
Religous Exemption]]/Table6[[#This Row],['# of Students]]</f>
        <v>2.2865853658536585E-2</v>
      </c>
      <c r="I50">
        <v>0</v>
      </c>
      <c r="J50" s="1">
        <f>Table6[[#This Row],['# UTD with 
Partial Religious Exemption]]/Table6[[#This Row],['# of Students]]</f>
        <v>0</v>
      </c>
    </row>
    <row r="51" spans="1:10" x14ac:dyDescent="0.25">
      <c r="A51" t="s">
        <v>51</v>
      </c>
      <c r="B51">
        <v>234</v>
      </c>
      <c r="C51">
        <v>0</v>
      </c>
      <c r="D51" s="1">
        <f>Table6[[#This Row],['# with Full 
Medical Exemption]]/Table6[[#This Row],['# of Students]]</f>
        <v>0</v>
      </c>
      <c r="E51">
        <v>0</v>
      </c>
      <c r="F51" s="1">
        <f>Table6[[#This Row],['# UTD with 
Partial Medical Exemption]]/Table6[[#This Row],['# of Students]]</f>
        <v>0</v>
      </c>
      <c r="G51">
        <v>6</v>
      </c>
      <c r="H51" s="1">
        <f>Table6[[#This Row],['# with Full 
Religous Exemption]]/Table6[[#This Row],['# of Students]]</f>
        <v>2.564102564102564E-2</v>
      </c>
      <c r="I51">
        <v>0</v>
      </c>
      <c r="J51" s="1">
        <f>Table6[[#This Row],['# UTD with 
Partial Religious Exemption]]/Table6[[#This Row],['# of Students]]</f>
        <v>0</v>
      </c>
    </row>
    <row r="52" spans="1:10" x14ac:dyDescent="0.25">
      <c r="A52" t="s">
        <v>52</v>
      </c>
      <c r="B52">
        <v>2363</v>
      </c>
      <c r="C52">
        <v>0</v>
      </c>
      <c r="D52" s="1">
        <f>Table6[[#This Row],['# with Full 
Medical Exemption]]/Table6[[#This Row],['# of Students]]</f>
        <v>0</v>
      </c>
      <c r="E52">
        <v>0</v>
      </c>
      <c r="F52" s="1">
        <f>Table6[[#This Row],['# UTD with 
Partial Medical Exemption]]/Table6[[#This Row],['# of Students]]</f>
        <v>0</v>
      </c>
      <c r="G52">
        <v>31</v>
      </c>
      <c r="H52" s="1">
        <f>Table6[[#This Row],['# with Full 
Religous Exemption]]/Table6[[#This Row],['# of Students]]</f>
        <v>1.3118916631400761E-2</v>
      </c>
      <c r="I52">
        <v>0</v>
      </c>
      <c r="J52" s="1">
        <f>Table6[[#This Row],['# UTD with 
Partial Religious Exemption]]/Table6[[#This Row],['# of Students]]</f>
        <v>0</v>
      </c>
    </row>
    <row r="53" spans="1:10" x14ac:dyDescent="0.25">
      <c r="A53" t="s">
        <v>53</v>
      </c>
      <c r="B53">
        <v>1448</v>
      </c>
      <c r="C53">
        <v>0</v>
      </c>
      <c r="D53" s="1">
        <f>Table6[[#This Row],['# with Full 
Medical Exemption]]/Table6[[#This Row],['# of Students]]</f>
        <v>0</v>
      </c>
      <c r="E53">
        <v>0</v>
      </c>
      <c r="F53" s="1">
        <f>Table6[[#This Row],['# UTD with 
Partial Medical Exemption]]/Table6[[#This Row],['# of Students]]</f>
        <v>0</v>
      </c>
      <c r="G53">
        <v>30</v>
      </c>
      <c r="H53" s="1">
        <f>Table6[[#This Row],['# with Full 
Religous Exemption]]/Table6[[#This Row],['# of Students]]</f>
        <v>2.0718232044198894E-2</v>
      </c>
      <c r="I53">
        <v>0</v>
      </c>
      <c r="J53" s="1">
        <f>Table6[[#This Row],['# UTD with 
Partial Religious Exemption]]/Table6[[#This Row],['# of Students]]</f>
        <v>0</v>
      </c>
    </row>
    <row r="54" spans="1:10" x14ac:dyDescent="0.25">
      <c r="A54" t="s">
        <v>54</v>
      </c>
      <c r="B54">
        <v>41</v>
      </c>
      <c r="C54">
        <v>0</v>
      </c>
      <c r="D54" s="1">
        <f>Table6[[#This Row],['# with Full 
Medical Exemption]]/Table6[[#This Row],['# of Students]]</f>
        <v>0</v>
      </c>
      <c r="E54">
        <v>0</v>
      </c>
      <c r="F54" s="1">
        <f>Table6[[#This Row],['# UTD with 
Partial Medical Exemption]]/Table6[[#This Row],['# of Students]]</f>
        <v>0</v>
      </c>
      <c r="G54">
        <v>0</v>
      </c>
      <c r="H54" s="1">
        <f>Table6[[#This Row],['# with Full 
Religous Exemption]]/Table6[[#This Row],['# of Students]]</f>
        <v>0</v>
      </c>
      <c r="I54">
        <v>0</v>
      </c>
      <c r="J54" s="1">
        <f>Table6[[#This Row],['# UTD with 
Partial Religious Exemption]]/Table6[[#This Row],['# of Students]]</f>
        <v>0</v>
      </c>
    </row>
    <row r="55" spans="1:10" x14ac:dyDescent="0.25">
      <c r="A55" t="s">
        <v>55</v>
      </c>
      <c r="B55">
        <v>122</v>
      </c>
      <c r="C55">
        <v>0</v>
      </c>
      <c r="D55" s="1">
        <f>Table6[[#This Row],['# with Full 
Medical Exemption]]/Table6[[#This Row],['# of Students]]</f>
        <v>0</v>
      </c>
      <c r="E55">
        <v>0</v>
      </c>
      <c r="F55" s="1">
        <f>Table6[[#This Row],['# UTD with 
Partial Medical Exemption]]/Table6[[#This Row],['# of Students]]</f>
        <v>0</v>
      </c>
      <c r="G55">
        <v>1</v>
      </c>
      <c r="H55" s="1">
        <f>Table6[[#This Row],['# with Full 
Religous Exemption]]/Table6[[#This Row],['# of Students]]</f>
        <v>8.1967213114754103E-3</v>
      </c>
      <c r="I55">
        <v>0</v>
      </c>
      <c r="J55" s="1">
        <f>Table6[[#This Row],['# UTD with 
Partial Religious Exemption]]/Table6[[#This Row],['# of Students]]</f>
        <v>0</v>
      </c>
    </row>
    <row r="56" spans="1:10" x14ac:dyDescent="0.25">
      <c r="A56" t="s">
        <v>56</v>
      </c>
      <c r="B56">
        <v>241</v>
      </c>
      <c r="C56">
        <v>0</v>
      </c>
      <c r="D56" s="1">
        <f>Table6[[#This Row],['# with Full 
Medical Exemption]]/Table6[[#This Row],['# of Students]]</f>
        <v>0</v>
      </c>
      <c r="E56">
        <v>0</v>
      </c>
      <c r="F56" s="1">
        <f>Table6[[#This Row],['# UTD with 
Partial Medical Exemption]]/Table6[[#This Row],['# of Students]]</f>
        <v>0</v>
      </c>
      <c r="G56">
        <v>4</v>
      </c>
      <c r="H56" s="1">
        <f>Table6[[#This Row],['# with Full 
Religous Exemption]]/Table6[[#This Row],['# of Students]]</f>
        <v>1.6597510373443983E-2</v>
      </c>
      <c r="I56">
        <v>0</v>
      </c>
      <c r="J56" s="1">
        <f>Table6[[#This Row],['# UTD with 
Partial Religious Exemption]]/Table6[[#This Row],['# of Students]]</f>
        <v>0</v>
      </c>
    </row>
    <row r="57" spans="1:10" x14ac:dyDescent="0.25">
      <c r="A57" t="s">
        <v>57</v>
      </c>
      <c r="B57">
        <v>269</v>
      </c>
      <c r="C57">
        <v>0</v>
      </c>
      <c r="D57" s="1">
        <f>Table6[[#This Row],['# with Full 
Medical Exemption]]/Table6[[#This Row],['# of Students]]</f>
        <v>0</v>
      </c>
      <c r="E57">
        <v>0</v>
      </c>
      <c r="F57" s="1">
        <f>Table6[[#This Row],['# UTD with 
Partial Medical Exemption]]/Table6[[#This Row],['# of Students]]</f>
        <v>0</v>
      </c>
      <c r="G57">
        <v>3</v>
      </c>
      <c r="H57" s="1">
        <f>Table6[[#This Row],['# with Full 
Religous Exemption]]/Table6[[#This Row],['# of Students]]</f>
        <v>1.1152416356877323E-2</v>
      </c>
      <c r="I57">
        <v>0</v>
      </c>
      <c r="J57" s="1">
        <f>Table6[[#This Row],['# UTD with 
Partial Religious Exemption]]/Table6[[#This Row],['# of Students]]</f>
        <v>0</v>
      </c>
    </row>
    <row r="58" spans="1:10" x14ac:dyDescent="0.25">
      <c r="A58" t="s">
        <v>58</v>
      </c>
      <c r="B58">
        <v>432</v>
      </c>
      <c r="C58">
        <v>0</v>
      </c>
      <c r="D58" s="1">
        <f>Table6[[#This Row],['# with Full 
Medical Exemption]]/Table6[[#This Row],['# of Students]]</f>
        <v>0</v>
      </c>
      <c r="E58">
        <v>0</v>
      </c>
      <c r="F58" s="1">
        <f>Table6[[#This Row],['# UTD with 
Partial Medical Exemption]]/Table6[[#This Row],['# of Students]]</f>
        <v>0</v>
      </c>
      <c r="G58">
        <v>4</v>
      </c>
      <c r="H58" s="1">
        <f>Table6[[#This Row],['# with Full 
Religous Exemption]]/Table6[[#This Row],['# of Students]]</f>
        <v>9.2592592592592587E-3</v>
      </c>
      <c r="I58">
        <v>0</v>
      </c>
      <c r="J58" s="1">
        <f>Table6[[#This Row],['# UTD with 
Partial Religious Exemption]]/Table6[[#This Row],['# of Students]]</f>
        <v>0</v>
      </c>
    </row>
    <row r="59" spans="1:10" x14ac:dyDescent="0.25">
      <c r="A59" t="s">
        <v>59</v>
      </c>
      <c r="B59">
        <v>2046</v>
      </c>
      <c r="C59">
        <v>3</v>
      </c>
      <c r="D59" s="1">
        <f>Table6[[#This Row],['# with Full 
Medical Exemption]]/Table6[[#This Row],['# of Students]]</f>
        <v>1.4662756598240469E-3</v>
      </c>
      <c r="E59">
        <v>0</v>
      </c>
      <c r="F59" s="1">
        <f>Table6[[#This Row],['# UTD with 
Partial Medical Exemption]]/Table6[[#This Row],['# of Students]]</f>
        <v>0</v>
      </c>
      <c r="G59">
        <v>51</v>
      </c>
      <c r="H59" s="1">
        <f>Table6[[#This Row],['# with Full 
Religous Exemption]]/Table6[[#This Row],['# of Students]]</f>
        <v>2.4926686217008796E-2</v>
      </c>
      <c r="I59">
        <v>0</v>
      </c>
      <c r="J59" s="1">
        <f>Table6[[#This Row],['# UTD with 
Partial Religious Exemption]]/Table6[[#This Row],['# of Students]]</f>
        <v>0</v>
      </c>
    </row>
    <row r="60" spans="1:10" x14ac:dyDescent="0.25">
      <c r="A60" t="s">
        <v>69</v>
      </c>
      <c r="B60">
        <v>1032</v>
      </c>
      <c r="C60">
        <v>0</v>
      </c>
      <c r="D60" s="1">
        <f>Table6[[#This Row],['# with Full 
Medical Exemption]]/Table6[[#This Row],['# of Students]]</f>
        <v>0</v>
      </c>
      <c r="E60">
        <v>0</v>
      </c>
      <c r="F60" s="1">
        <f>Table6[[#This Row],['# UTD with 
Partial Medical Exemption]]/Table6[[#This Row],['# of Students]]</f>
        <v>0</v>
      </c>
      <c r="G60">
        <v>38</v>
      </c>
      <c r="H60" s="1">
        <f>Table6[[#This Row],['# with Full 
Religous Exemption]]/Table6[[#This Row],['# of Students]]</f>
        <v>3.6821705426356592E-2</v>
      </c>
      <c r="I60">
        <v>0</v>
      </c>
      <c r="J60" s="1">
        <f>Table6[[#This Row],['# UTD with 
Partial Religious Exemption]]/Table6[[#This Row],['# of Students]]</f>
        <v>0</v>
      </c>
    </row>
    <row r="61" spans="1:10" x14ac:dyDescent="0.25">
      <c r="A61" t="s">
        <v>61</v>
      </c>
      <c r="B61">
        <v>68</v>
      </c>
      <c r="C61">
        <v>0</v>
      </c>
      <c r="D61" s="1">
        <f>Table6[[#This Row],['# with Full 
Medical Exemption]]/Table6[[#This Row],['# of Students]]</f>
        <v>0</v>
      </c>
      <c r="E61">
        <v>0</v>
      </c>
      <c r="F61" s="1">
        <f>Table6[[#This Row],['# UTD with 
Partial Medical Exemption]]/Table6[[#This Row],['# of Students]]</f>
        <v>0</v>
      </c>
      <c r="G61">
        <v>0</v>
      </c>
      <c r="H61" s="1">
        <f>Table6[[#This Row],['# with Full 
Religous Exemption]]/Table6[[#This Row],['# of Students]]</f>
        <v>0</v>
      </c>
      <c r="I61">
        <v>0</v>
      </c>
      <c r="J61" s="1">
        <f>Table6[[#This Row],['# UTD with 
Partial Religious Exemption]]/Table6[[#This Row],['# of Students]]</f>
        <v>0</v>
      </c>
    </row>
    <row r="62" spans="1:10" x14ac:dyDescent="0.25">
      <c r="A62" t="s">
        <v>62</v>
      </c>
      <c r="B62">
        <v>746</v>
      </c>
      <c r="C62">
        <v>0</v>
      </c>
      <c r="D62" s="1">
        <f>Table6[[#This Row],['# with Full 
Medical Exemption]]/Table6[[#This Row],['# of Students]]</f>
        <v>0</v>
      </c>
      <c r="E62">
        <v>0</v>
      </c>
      <c r="F62" s="1">
        <f>Table6[[#This Row],['# UTD with 
Partial Medical Exemption]]/Table6[[#This Row],['# of Students]]</f>
        <v>0</v>
      </c>
      <c r="G62">
        <v>12</v>
      </c>
      <c r="H62" s="1">
        <f>Table6[[#This Row],['# with Full 
Religous Exemption]]/Table6[[#This Row],['# of Students]]</f>
        <v>1.6085790884718499E-2</v>
      </c>
      <c r="I62">
        <v>0</v>
      </c>
      <c r="J62" s="1">
        <f>Table6[[#This Row],['# UTD with 
Partial Religious Exemption]]/Table6[[#This Row],['# of Students]]</f>
        <v>0</v>
      </c>
    </row>
    <row r="63" spans="1:10" x14ac:dyDescent="0.25">
      <c r="A63" t="s">
        <v>63</v>
      </c>
      <c r="B63">
        <v>401</v>
      </c>
      <c r="C63">
        <v>0</v>
      </c>
      <c r="D63" s="1">
        <f>Table6[[#This Row],['# with Full 
Medical Exemption]]/Table6[[#This Row],['# of Students]]</f>
        <v>0</v>
      </c>
      <c r="E63">
        <v>0</v>
      </c>
      <c r="F63" s="1">
        <f>Table6[[#This Row],['# UTD with 
Partial Medical Exemption]]/Table6[[#This Row],['# of Students]]</f>
        <v>0</v>
      </c>
      <c r="G63">
        <v>6</v>
      </c>
      <c r="H63" s="1">
        <f>Table6[[#This Row],['# with Full 
Religous Exemption]]/Table6[[#This Row],['# of Students]]</f>
        <v>1.4962593516209476E-2</v>
      </c>
      <c r="I63">
        <v>0</v>
      </c>
      <c r="J63" s="1">
        <f>Table6[[#This Row],['# UTD with 
Partial Religious Exemption]]/Table6[[#This Row],['# of Students]]</f>
        <v>0</v>
      </c>
    </row>
    <row r="64" spans="1:10" x14ac:dyDescent="0.25">
      <c r="A64" t="s">
        <v>64</v>
      </c>
      <c r="B64">
        <v>2260</v>
      </c>
      <c r="C64">
        <v>0</v>
      </c>
      <c r="D64" s="1">
        <f>Table6[[#This Row],['# with Full 
Medical Exemption]]/Table6[[#This Row],['# of Students]]</f>
        <v>0</v>
      </c>
      <c r="E64">
        <v>1</v>
      </c>
      <c r="F64" s="1">
        <f>Table6[[#This Row],['# UTD with 
Partial Medical Exemption]]/Table6[[#This Row],['# of Students]]</f>
        <v>4.4247787610619468E-4</v>
      </c>
      <c r="G64">
        <v>41</v>
      </c>
      <c r="H64" s="1">
        <f>Table6[[#This Row],['# with Full 
Religous Exemption]]/Table6[[#This Row],['# of Students]]</f>
        <v>1.8141592920353982E-2</v>
      </c>
      <c r="I64">
        <v>0</v>
      </c>
      <c r="J64" s="1">
        <f>Table6[[#This Row],['# UTD with 
Partial Religious Exemption]]/Table6[[#This Row],['# of Students]]</f>
        <v>0</v>
      </c>
    </row>
    <row r="65" spans="1:10" x14ac:dyDescent="0.25">
      <c r="A65" t="s">
        <v>65</v>
      </c>
      <c r="B65">
        <v>745</v>
      </c>
      <c r="C65">
        <v>0</v>
      </c>
      <c r="D65" s="1">
        <f>Table6[[#This Row],['# with Full 
Medical Exemption]]/Table6[[#This Row],['# of Students]]</f>
        <v>0</v>
      </c>
      <c r="E65">
        <v>0</v>
      </c>
      <c r="F65" s="1">
        <f>Table6[[#This Row],['# UTD with 
Partial Medical Exemption]]/Table6[[#This Row],['# of Students]]</f>
        <v>0</v>
      </c>
      <c r="G65">
        <v>12</v>
      </c>
      <c r="H65" s="1">
        <f>Table6[[#This Row],['# with Full 
Religous Exemption]]/Table6[[#This Row],['# of Students]]</f>
        <v>1.6107382550335572E-2</v>
      </c>
      <c r="I65">
        <v>0</v>
      </c>
      <c r="J65" s="1">
        <f>Table6[[#This Row],['# UTD with 
Partial Religious Exemption]]/Table6[[#This Row],['# of Students]]</f>
        <v>0</v>
      </c>
    </row>
    <row r="66" spans="1:10" x14ac:dyDescent="0.25">
      <c r="A66" t="s">
        <v>66</v>
      </c>
      <c r="B66">
        <v>138</v>
      </c>
      <c r="C66">
        <v>0</v>
      </c>
      <c r="D66" s="1">
        <f>Table6[[#This Row],['# with Full 
Medical Exemption]]/Table6[[#This Row],['# of Students]]</f>
        <v>0</v>
      </c>
      <c r="E66">
        <v>0</v>
      </c>
      <c r="F66" s="1">
        <f>Table6[[#This Row],['# UTD with 
Partial Medical Exemption]]/Table6[[#This Row],['# of Students]]</f>
        <v>0</v>
      </c>
      <c r="G66">
        <v>1</v>
      </c>
      <c r="H66" s="1">
        <f>Table6[[#This Row],['# with Full 
Religous Exemption]]/Table6[[#This Row],['# of Students]]</f>
        <v>7.246376811594203E-3</v>
      </c>
      <c r="I66">
        <v>0</v>
      </c>
      <c r="J66" s="1">
        <f>Table6[[#This Row],['# UTD with 
Partial Religious Exemption]]/Table6[[#This Row],['# of Students]]</f>
        <v>0</v>
      </c>
    </row>
    <row r="67" spans="1:10" x14ac:dyDescent="0.25">
      <c r="A67" t="s">
        <v>67</v>
      </c>
      <c r="B67">
        <v>70</v>
      </c>
      <c r="C67">
        <v>0</v>
      </c>
      <c r="D67" s="1">
        <f>Table6[[#This Row],['# with Full 
Medical Exemption]]/Table6[[#This Row],['# of Students]]</f>
        <v>0</v>
      </c>
      <c r="E67">
        <v>0</v>
      </c>
      <c r="F67" s="1">
        <f>Table6[[#This Row],['# UTD with 
Partial Medical Exemption]]/Table6[[#This Row],['# of Students]]</f>
        <v>0</v>
      </c>
      <c r="G67">
        <v>1</v>
      </c>
      <c r="H67" s="1">
        <f>Table6[[#This Row],['# with Full 
Religous Exemption]]/Table6[[#This Row],['# of Students]]</f>
        <v>1.4285714285714285E-2</v>
      </c>
      <c r="I67">
        <v>0</v>
      </c>
      <c r="J67" s="1">
        <f>Table6[[#This Row],['# UTD with 
Partial Religious Exemption]]/Table6[[#This Row],['# of Students]]</f>
        <v>0</v>
      </c>
    </row>
    <row r="68" spans="1:10" x14ac:dyDescent="0.25">
      <c r="A68" t="s">
        <v>68</v>
      </c>
      <c r="B68">
        <v>286</v>
      </c>
      <c r="C68">
        <v>0</v>
      </c>
      <c r="D68" s="1">
        <f>Table6[[#This Row],['# with Full 
Medical Exemption]]/Table6[[#This Row],['# of Students]]</f>
        <v>0</v>
      </c>
      <c r="E68">
        <v>0</v>
      </c>
      <c r="F68" s="1">
        <f>Table6[[#This Row],['# UTD with 
Partial Medical Exemption]]/Table6[[#This Row],['# of Students]]</f>
        <v>0</v>
      </c>
      <c r="G68">
        <v>5</v>
      </c>
      <c r="H68" s="1">
        <f>Table6[[#This Row],['# with Full 
Religous Exemption]]/Table6[[#This Row],['# of Students]]</f>
        <v>1.7482517482517484E-2</v>
      </c>
      <c r="I68">
        <v>0</v>
      </c>
      <c r="J68" s="1">
        <f>Table6[[#This Row],['# UTD with 
Partial Religious Exemption]]/Table6[[#This Row],['# of Students]]</f>
        <v>0</v>
      </c>
    </row>
    <row r="69" spans="1:10" x14ac:dyDescent="0.25">
      <c r="B69">
        <f t="shared" ref="B69:I69" si="0">SUBTOTAL(109,B2:B68)</f>
        <v>53234</v>
      </c>
      <c r="C69">
        <f t="shared" si="0"/>
        <v>37</v>
      </c>
      <c r="E69">
        <f t="shared" si="0"/>
        <v>6</v>
      </c>
      <c r="G69">
        <f t="shared" si="0"/>
        <v>1143</v>
      </c>
      <c r="I69">
        <f t="shared" si="0"/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01.27.2021</vt:lpstr>
      <vt:lpstr>03.09.2022</vt:lpstr>
      <vt:lpstr>09.14.2023</vt:lpstr>
      <vt:lpstr>04.05.2024</vt:lpstr>
      <vt:lpstr>03.10.2025</vt:lpstr>
    </vt:vector>
  </TitlesOfParts>
  <Company>Alabama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Rebecca</dc:creator>
  <cp:lastModifiedBy>Stephens, Rebecca</cp:lastModifiedBy>
  <dcterms:created xsi:type="dcterms:W3CDTF">2025-03-12T19:57:17Z</dcterms:created>
  <dcterms:modified xsi:type="dcterms:W3CDTF">2025-04-23T13:40:34Z</dcterms:modified>
</cp:coreProperties>
</file>