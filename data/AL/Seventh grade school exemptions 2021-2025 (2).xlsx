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1rstep\Desktop\Ad Hoc Reports\"/>
    </mc:Choice>
  </mc:AlternateContent>
  <xr:revisionPtr revIDLastSave="0" documentId="13_ncr:1_{600C2EFB-02C9-4129-9089-C0533314624E}" xr6:coauthVersionLast="47" xr6:coauthVersionMax="47" xr10:uidLastSave="{00000000-0000-0000-0000-000000000000}"/>
  <bookViews>
    <workbookView xWindow="-120" yWindow="-120" windowWidth="29040" windowHeight="15720" xr2:uid="{EDF33452-1647-4628-AF11-3AFE194CE8DD}"/>
  </bookViews>
  <sheets>
    <sheet name="01.28.2021" sheetId="1" r:id="rId1"/>
    <sheet name="03.16.2022" sheetId="2" r:id="rId2"/>
    <sheet name="12.27.2022" sheetId="3" r:id="rId3"/>
    <sheet name="04.08.2024" sheetId="4" r:id="rId4"/>
    <sheet name="03.11.20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9" i="5" l="1"/>
  <c r="H69" i="5"/>
  <c r="F69" i="5"/>
  <c r="D69" i="5"/>
  <c r="I69" i="5"/>
  <c r="G69" i="5"/>
  <c r="E69" i="5"/>
  <c r="C69" i="5"/>
  <c r="B69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J69" i="4"/>
  <c r="H69" i="4"/>
  <c r="F69" i="4"/>
  <c r="D69" i="4"/>
  <c r="B69" i="1"/>
  <c r="B69" i="2"/>
  <c r="B69" i="3"/>
  <c r="I69" i="4"/>
  <c r="G69" i="4"/>
  <c r="E69" i="4"/>
  <c r="C69" i="4"/>
  <c r="B69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J69" i="3"/>
  <c r="H69" i="3"/>
  <c r="F69" i="3"/>
  <c r="D69" i="3"/>
  <c r="I69" i="3"/>
  <c r="G69" i="3"/>
  <c r="E69" i="3"/>
  <c r="C69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J69" i="2"/>
  <c r="H69" i="2"/>
  <c r="F69" i="2"/>
  <c r="I69" i="2"/>
  <c r="G69" i="2"/>
  <c r="E69" i="2"/>
  <c r="D69" i="2"/>
  <c r="C6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J69" i="1"/>
  <c r="H69" i="1"/>
  <c r="F69" i="1"/>
  <c r="D69" i="1"/>
  <c r="I69" i="1"/>
  <c r="G69" i="1"/>
  <c r="E69" i="1"/>
  <c r="C69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</calcChain>
</file>

<file path=xl/sharedStrings.xml><?xml version="1.0" encoding="utf-8"?>
<sst xmlns="http://schemas.openxmlformats.org/spreadsheetml/2006/main" count="385" uniqueCount="78">
  <si>
    <t>County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</si>
  <si>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</si>
  <si>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</si>
  <si>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</si>
  <si>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</si>
  <si>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</si>
  <si>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</si>
  <si>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</si>
  <si>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</si>
  <si>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</si>
  <si>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</si>
  <si>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</si>
  <si>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</si>
  <si>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</si>
  <si>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</si>
  <si>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</si>
  <si>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</si>
  <si>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</si>
  <si>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</si>
  <si>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</si>
  <si>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</si>
  <si>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</si>
  <si>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</si>
  <si>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</si>
  <si>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</si>
  <si>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</si>
  <si>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</si>
  <si>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</si>
  <si>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</si>
  <si>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</si>
  <si>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</si>
  <si>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</si>
  <si>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</si>
  <si>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</si>
  <si>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</si>
  <si>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</si>
  <si>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</si>
  <si>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</si>
  <si>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</si>
  <si>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</si>
  <si>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</si>
  <si>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</si>
  <si>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</si>
  <si>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</si>
  <si>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</si>
  <si>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</si>
  <si>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</si>
  <si>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</si>
  <si>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</si>
  <si>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</si>
  <si>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</si>
  <si>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</si>
  <si>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</si>
  <si>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</si>
  <si>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</si>
  <si>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</si>
  <si>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</si>
  <si>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</si>
  <si>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</si>
  <si>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</si>
  <si>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</si>
  <si>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</si>
  <si>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</si>
  <si>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</si>
  <si>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</si>
  <si>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</si>
  <si>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</si>
  <si>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</si>
  <si>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# of Students</t>
  </si>
  <si>
    <t># with Full 
Medical Exemption</t>
  </si>
  <si>
    <t>% with Full 
Medical Exemption</t>
  </si>
  <si>
    <t># UTD with 
Partial Medical Exemption</t>
  </si>
  <si>
    <t>% UTD with 
Partial Medical Exemtion</t>
  </si>
  <si>
    <t># with Full 
Religous Exemption</t>
  </si>
  <si>
    <t>% with Full 
Religous Exemption</t>
  </si>
  <si>
    <t># UTD with 
Partial Religious Exemption</t>
  </si>
  <si>
    <t>% UTD with 
Partial Religious Exemption</t>
  </si>
  <si>
    <t>ST. CLAIR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</si>
</sst>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0" fontId="0" fillId="0" borderId="0" xfId="1" applyNumberFormat="1" applyFont="1" applyAlignment="1">
      <alignment wrapText="1"/>
    </xf>
    <xf numFmtId="10" fontId="0" fillId="0" borderId="0" xfId="1" applyNumberFormat="1" applyFont="1"/>
    <xf numFmtId="10" fontId="0" fillId="0" borderId="0" xfId="0" applyNumberFormat="1" applyFont="1"/>
  </cellXfs>
  <cellStyles count="2">
    <cellStyle name="Normal" xfId="0" builtinId="0"/>
    <cellStyle name="Percent" xfId="1" builtinId="5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general" vertical="bottom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general" vertical="bottom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B1F7D-AFB3-4D5A-B7EC-DFDCB1003717}" name="Table1" displayName="Table1" ref="A1:J69" totalsRowCount="1" headerRowDxfId="42" headerRowCellStyle="Percent">
  <autoFilter ref="A1:J68" xr:uid="{496B1F7D-AFB3-4D5A-B7EC-DFDCB1003717}"/>
  <tableColumns count="10">
    <tableColumn id="1" xr3:uid="{FB122325-6331-49D6-B6C7-E74B2309CD80}" name="County"/>
    <tableColumn id="2" xr3:uid="{1F9A2195-B89C-45CB-9F1E-E02322222D10}" name="# of Students" totalsRowFunction="sum"/>
    <tableColumn id="3" xr3:uid="{3A115B16-FE38-418F-8FC8-9E4DDC4F1140}" name="# with Full _x000a_Medical Exemption" totalsRowFunction="custom">
      <totalsRowFormula>SUBTOTAL(109,C2:C68)</totalsRowFormula>
    </tableColumn>
    <tableColumn id="4" xr3:uid="{63D4CB29-3292-4CEC-AB0F-9DE3A25D140C}" name="% with Full _x000a_Medical Exemption" totalsRowFunction="custom" dataDxfId="41" totalsRowDxfId="15" dataCellStyle="Percent" totalsRowCellStyle="Percent">
      <calculatedColumnFormula>Table1[[#This Row],['# with Full 
Medical Exemption]]/Table1[[#This Row],['# of Students]]</calculatedColumnFormula>
      <totalsRowFormula>Table1[[#Totals],['# with Full 
Medical Exemption]]/Table1[[#Totals],['# of Students]]</totalsRowFormula>
    </tableColumn>
    <tableColumn id="5" xr3:uid="{FCA86A7C-BB62-4D24-9E98-4126A991DE06}" name="# UTD with _x000a_Partial Medical Exemption" totalsRowFunction="sum"/>
    <tableColumn id="6" xr3:uid="{B834EF14-5017-4232-A9FA-79ECF9997A51}" name="% UTD with _x000a_Partial Medical Exemtion" totalsRowFunction="custom" dataDxfId="40" totalsRowDxfId="14" dataCellStyle="Percent" totalsRowCellStyle="Percent">
      <calculatedColumnFormula>Table1[[#This Row],['# UTD with 
Partial Medical Exemption]]/Table1[[#This Row],['# of Students]]</calculatedColumnFormula>
      <totalsRowFormula>Table1[[#Totals],['# UTD with 
Partial Medical Exemption]]/Table1[[#Totals],['# of Students]]</totalsRowFormula>
    </tableColumn>
    <tableColumn id="7" xr3:uid="{7D5FAFB4-EA03-4FBF-B5B1-5BEA6D7D6C6F}" name="# with Full _x000a_Religous Exemption" totalsRowFunction="sum"/>
    <tableColumn id="8" xr3:uid="{C15D0625-8A3E-485A-84EC-C3B8D5C35ADF}" name="% with Full _x000a_Religous Exemption" totalsRowFunction="custom" dataDxfId="39" totalsRowDxfId="13" dataCellStyle="Percent" totalsRowCellStyle="Percent">
      <calculatedColumnFormula>Table1[[#This Row],['# with Full 
Religous Exemption]]/Table1[[#This Row],['# of Students]]</calculatedColumnFormula>
      <totalsRowFormula>Table1[[#Totals],['# with Full 
Religous Exemption]]/Table1[[#Totals],['# of Students]]</totalsRowFormula>
    </tableColumn>
    <tableColumn id="9" xr3:uid="{8B704F14-B691-419D-96E5-28F50BA3385B}" name="# UTD with _x000a_Partial Religious Exemption" totalsRowFunction="sum"/>
    <tableColumn id="10" xr3:uid="{563CB7FD-686C-4F2A-A67B-F0F5690A20A7}" name="% UTD with _x000a_Partial Religious Exemption" totalsRowFunction="custom" dataDxfId="38" totalsRowDxfId="12" dataCellStyle="Percent" totalsRowCellStyle="Percent">
      <calculatedColumnFormula>Table1[[#This Row],['# UTD with 
Partial Religious Exemption]]/Table1[[#This Row],['# of Students]]</calculatedColumnFormula>
      <totalsRowFormula>Table1[[#Totals],['# UTD with 
Partial Religious Exemption]]/Table1[[#Totals],['# of Students]]</totalsRow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6007F2-0823-4E69-994B-D5EA266830A5}" name="Table2" displayName="Table2" ref="A1:J69" totalsRowCount="1" headerRowDxfId="37">
  <autoFilter ref="A1:J68" xr:uid="{736007F2-0823-4E69-994B-D5EA266830A5}"/>
  <tableColumns count="10">
    <tableColumn id="1" xr3:uid="{15A5CAAC-5A7C-499C-BD12-EFC1DFC97C56}" name="County"/>
    <tableColumn id="2" xr3:uid="{3684685E-DD07-4490-83AA-350E254BF111}" name="# of Students" totalsRowFunction="sum"/>
    <tableColumn id="3" xr3:uid="{ADB9D552-391F-4026-B473-D9D90AD82212}" name="# with Full _x000a_Medical Exemption" totalsRowFunction="sum"/>
    <tableColumn id="4" xr3:uid="{E282D226-BA15-458D-8258-DC1A769106CB}" name="% with Full _x000a_Medical Exemption" totalsRowFunction="custom" dataDxfId="36" totalsRowDxfId="19" dataCellStyle="Percent">
      <calculatedColumnFormula>Table2[[#This Row],['# with Full 
Medical Exemption]]/Table2[[#This Row],['# of Students]]</calculatedColumnFormula>
      <totalsRowFormula>Table2[[#Totals],['# with Full 
Medical Exemption]]/Table2[[#Totals],['# of Students]]</totalsRowFormula>
    </tableColumn>
    <tableColumn id="5" xr3:uid="{DE081FC3-1ABE-4247-AB5E-066096F1EF3E}" name="# UTD with _x000a_Partial Medical Exemption" totalsRowFunction="sum"/>
    <tableColumn id="6" xr3:uid="{5B605276-90E1-45EF-ABED-02B1291CFC4C}" name="% UTD with _x000a_Partial Medical Exemtion" totalsRowFunction="custom" dataDxfId="35" totalsRowDxfId="18" dataCellStyle="Percent">
      <calculatedColumnFormula>Table2[[#This Row],['# UTD with 
Partial Medical Exemption]]/Table2[[#This Row],['# of Students]]</calculatedColumnFormula>
      <totalsRowFormula>Table2[[#Totals],['# UTD with 
Partial Medical Exemption]]/Table2[[#Totals],['# of Students]]</totalsRowFormula>
    </tableColumn>
    <tableColumn id="7" xr3:uid="{E78D8864-2F94-4AE4-A703-4CDE0D1FA14A}" name="# with Full _x000a_Religous Exemption" totalsRowFunction="sum"/>
    <tableColumn id="8" xr3:uid="{AD8E898E-EF5B-4DF2-BB00-6875ED5D3499}" name="% with Full _x000a_Religous Exemption" totalsRowFunction="custom" dataDxfId="34" totalsRowDxfId="17" dataCellStyle="Percent">
      <calculatedColumnFormula>Table2[[#This Row],['# with Full 
Religous Exemption]]/Table2[[#This Row],['# of Students]]</calculatedColumnFormula>
      <totalsRowFormula>Table2[[#Totals],['# with Full 
Religous Exemption]]/Table2[[#Totals],['# of Students]]</totalsRowFormula>
    </tableColumn>
    <tableColumn id="9" xr3:uid="{70E91AD4-B14E-46E9-AF63-A6664C8DA80A}" name="# UTD with _x000a_Partial Religious Exemption" totalsRowFunction="sum"/>
    <tableColumn id="10" xr3:uid="{C457CDC6-90C1-4294-9960-29E52F3017CA}" name="% UTD with _x000a_Partial Religious Exemption" totalsRowFunction="custom" dataDxfId="33" totalsRowDxfId="16" dataCellStyle="Percent">
      <calculatedColumnFormula>Table2[[#This Row],['# UTD with 
Partial Religious Exemption]]/Table2[[#This Row],['# of Students]]</calculatedColumnFormula>
      <totalsRowFormula>Table2[[#Totals],['# UTD with 
Partial Religious Exemption]]/Table2[[#Totals],['# of Students]]</totalsRow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4C04F7-2240-43F6-B9C9-0736EE71E4AB}" name="Table3" displayName="Table3" ref="A1:J69" totalsRowCount="1" headerRowDxfId="32">
  <autoFilter ref="A1:J68" xr:uid="{5C4C04F7-2240-43F6-B9C9-0736EE71E4AB}"/>
  <tableColumns count="10">
    <tableColumn id="1" xr3:uid="{2C41BA39-93B9-459B-A22F-1D38A7F62AA6}" name="County"/>
    <tableColumn id="2" xr3:uid="{07B587CB-4472-46D3-908D-E907C37BA743}" name="# of Students" totalsRowFunction="sum"/>
    <tableColumn id="3" xr3:uid="{DBCD2CCE-C29A-440D-BED3-EEC9E990E16B}" name="# with Full _x000a_Medical Exemption" totalsRowFunction="sum"/>
    <tableColumn id="4" xr3:uid="{D49F6BB1-72CA-4EDF-87B8-9AA8B9594132}" name="% with Full _x000a_Medical Exemption" totalsRowFunction="custom" dataDxfId="31" totalsRowDxfId="23" dataCellStyle="Percent" totalsRowCellStyle="Percent">
      <calculatedColumnFormula>Table3[[#This Row],['# with Full 
Medical Exemption]]/Table3[[#This Row],['# of Students]]</calculatedColumnFormula>
      <totalsRowFormula>Table3[[#Totals],['# with Full 
Medical Exemption]]/Table3[[#Totals],['# of Students]]</totalsRowFormula>
    </tableColumn>
    <tableColumn id="5" xr3:uid="{9AB74E11-366B-48D4-87BD-6D42DFD13B28}" name="# UTD with _x000a_Partial Medical Exemption" totalsRowFunction="sum"/>
    <tableColumn id="6" xr3:uid="{F16CC8A7-61C9-4DC6-B0D8-0A547FE9BDD9}" name="% UTD with _x000a_Partial Medical Exemtion" totalsRowFunction="custom" dataDxfId="30" totalsRowDxfId="22" dataCellStyle="Percent" totalsRowCellStyle="Percent">
      <calculatedColumnFormula>Table3[[#This Row],['# UTD with 
Partial Medical Exemption]]/Table3[[#This Row],['# of Students]]</calculatedColumnFormula>
      <totalsRowFormula>Table3[[#Totals],['# UTD with 
Partial Medical Exemption]]/Table3[[#Totals],['# of Students]]</totalsRowFormula>
    </tableColumn>
    <tableColumn id="7" xr3:uid="{FFC309F5-3268-439A-905D-F645420B9710}" name="# with Full _x000a_Religous Exemption" totalsRowFunction="sum"/>
    <tableColumn id="8" xr3:uid="{813396C0-AA80-4337-849A-1BF895E6FDD6}" name="% with Full _x000a_Religous Exemption" totalsRowFunction="custom" dataDxfId="29" totalsRowDxfId="21" dataCellStyle="Percent" totalsRowCellStyle="Percent">
      <calculatedColumnFormula>Table3[[#This Row],['# with Full 
Religous Exemption]]/Table3[[#This Row],['# of Students]]</calculatedColumnFormula>
      <totalsRowFormula>Table3[[#Totals],['# with Full 
Religous Exemption]]/Table3[[#Totals],['# of Students]]</totalsRowFormula>
    </tableColumn>
    <tableColumn id="9" xr3:uid="{1035ECBE-95B8-4DAD-917E-8A63BBD513DB}" name="# UTD with _x000a_Partial Religious Exemption" totalsRowFunction="sum"/>
    <tableColumn id="10" xr3:uid="{5E39C88A-34EE-4685-9637-C238B7CF5FD9}" name="% UTD with _x000a_Partial Religious Exemption" totalsRowFunction="custom" dataDxfId="28" totalsRowDxfId="20" dataCellStyle="Percent" totalsRowCellStyle="Percent">
      <calculatedColumnFormula>Table3[[#This Row],['# UTD with 
Partial Religious Exemption]]/Table3[[#This Row],['# of Students]]</calculatedColumnFormula>
      <totalsRowFormula>Table3[[#Totals],['# UTD with 
Partial Religious Exemption]]/Table3[[#Totals],['# of Students]]</totalsRow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3932EB-96E0-481A-9C98-7B641A6E12EF}" name="Table4" displayName="Table4" ref="A1:J69" totalsRowCount="1">
  <autoFilter ref="A1:J68" xr:uid="{733932EB-96E0-481A-9C98-7B641A6E12EF}"/>
  <tableColumns count="10">
    <tableColumn id="1" xr3:uid="{3CABA188-84E8-4678-B6DD-65FB5264E930}" name="County"/>
    <tableColumn id="2" xr3:uid="{ED826806-3030-4C3F-A15E-CA335BC9E96A}" name="# of Students" totalsRowFunction="sum"/>
    <tableColumn id="3" xr3:uid="{76F56FC2-E175-4FA3-8AF1-7DB8B5B6D9F0}" name="# with Full _x000a_Medical Exemption" totalsRowFunction="sum"/>
    <tableColumn id="4" xr3:uid="{AC22D04E-FE53-4E47-8BF0-0227ED171886}" name="% with Full _x000a_Medical Exemption" totalsRowFunction="custom" dataDxfId="27" totalsRowDxfId="11" dataCellStyle="Percent" totalsRowCellStyle="Percent">
      <calculatedColumnFormula>Table4[[#This Row],['# with Full 
Medical Exemption]]/Table4[[#This Row],['# of Students]]</calculatedColumnFormula>
      <totalsRowFormula>Table4[[#Totals],['# with Full 
Medical Exemption]]/Table4[[#Totals],['# of Students]]</totalsRowFormula>
    </tableColumn>
    <tableColumn id="5" xr3:uid="{917891E8-448B-423D-943A-EB497E939AFD}" name="# UTD with _x000a_Partial Medical Exemption" totalsRowFunction="sum"/>
    <tableColumn id="6" xr3:uid="{7B24DF83-2ADE-4E14-8F32-8EBB0CC7656D}" name="% UTD with _x000a_Partial Medical Exemtion" totalsRowFunction="custom" dataDxfId="26" totalsRowDxfId="10" dataCellStyle="Percent" totalsRowCellStyle="Percent">
      <calculatedColumnFormula>Table4[[#This Row],['# UTD with 
Partial Medical Exemption]]/Table4[[#This Row],['# of Students]]</calculatedColumnFormula>
      <totalsRowFormula>Table4[[#Totals],['# UTD with 
Partial Medical Exemption]]/Table4[[#Totals],['# of Students]]</totalsRowFormula>
    </tableColumn>
    <tableColumn id="7" xr3:uid="{443698B0-8994-456D-B541-F5C38B62C3E7}" name="# with Full _x000a_Religous Exemption" totalsRowFunction="sum"/>
    <tableColumn id="8" xr3:uid="{1A10EE79-B6FE-4524-8403-957374B351FC}" name="% with Full _x000a_Religous Exemption" totalsRowFunction="custom" dataDxfId="25" totalsRowDxfId="9" dataCellStyle="Percent" totalsRowCellStyle="Percent">
      <calculatedColumnFormula>Table4[[#This Row],['# with Full 
Religous Exemption]]/Table4[[#This Row],['# of Students]]</calculatedColumnFormula>
      <totalsRowFormula>Table4[[#Totals],['# with Full 
Religous Exemption]]/Table4[[#Totals],['# of Students]]</totalsRowFormula>
    </tableColumn>
    <tableColumn id="9" xr3:uid="{C72B1A66-DA94-4A0E-822F-790C3886F35F}" name="# UTD with _x000a_Partial Religious Exemption" totalsRowFunction="sum"/>
    <tableColumn id="10" xr3:uid="{C0163CC0-0A29-4EE9-9869-AC4826C73EA0}" name="% UTD with _x000a_Partial Religious Exemption" totalsRowFunction="custom" dataDxfId="24" totalsRowDxfId="8" dataCellStyle="Percent" totalsRowCellStyle="Percent">
      <calculatedColumnFormula>Table4[[#This Row],['# UTD with 
Partial Religious Exemption]]/Table4[[#This Row],['# of Students]]</calculatedColumnFormula>
      <totalsRowFormula>Table4[[#Totals],['# UTD with 
Partial Religious Exemption]]/Table4[[#Totals],['# of Students]]</totalsRow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377FA8-96A2-446B-AF04-E8B560899CFA}" name="Table5" displayName="Table5" ref="A1:J69" totalsRowCount="1">
  <autoFilter ref="A1:J68" xr:uid="{ED377FA8-96A2-446B-AF04-E8B560899CFA}"/>
  <tableColumns count="10">
    <tableColumn id="1" xr3:uid="{8C535DE9-5104-4CF8-B49B-1B11E6A380DB}" name="County"/>
    <tableColumn id="2" xr3:uid="{5F4078F1-2BF1-44D0-8CCE-9BA23B82F811}" name="# of Students" totalsRowFunction="sum"/>
    <tableColumn id="3" xr3:uid="{52D1AA8A-CCEA-4517-A2C6-30D64E18544E}" name="# with Full _x000a_Medical Exemption" totalsRowFunction="sum"/>
    <tableColumn id="4" xr3:uid="{8268C21F-C004-44A2-A60A-4A77CD4926BF}" name="% with Full _x000a_Medical Exemption" totalsRowFunction="custom" dataDxfId="7" totalsRowDxfId="3" dataCellStyle="Percent" totalsRowCellStyle="Percent">
      <calculatedColumnFormula>Table5[[#This Row],['# with Full 
Medical Exemption]]/Table5[[#This Row],['# of Students]]</calculatedColumnFormula>
      <totalsRowFormula>Table5[[#Totals],['# with Full 
Medical Exemption]]/Table5[[#Totals],['# of Students]]</totalsRowFormula>
    </tableColumn>
    <tableColumn id="5" xr3:uid="{2CC55F08-9698-47DA-A98B-59AF84AA4445}" name="# UTD with _x000a_Partial Medical Exemption" totalsRowFunction="sum"/>
    <tableColumn id="6" xr3:uid="{E49E1673-879B-40AF-9164-B0ED02690905}" name="% UTD with _x000a_Partial Medical Exemtion" totalsRowFunction="custom" dataDxfId="6" totalsRowDxfId="2" dataCellStyle="Percent" totalsRowCellStyle="Percent">
      <calculatedColumnFormula>Table5[[#This Row],['# UTD with 
Partial Medical Exemption]]/Table5[[#This Row],['# of Students]]</calculatedColumnFormula>
      <totalsRowFormula>Table5[[#Totals],['# UTD with 
Partial Medical Exemption]]/Table5[[#Totals],['# of Students]]</totalsRowFormula>
    </tableColumn>
    <tableColumn id="7" xr3:uid="{FAC8337C-0877-4C48-A37A-BFB9A1DA2CB5}" name="# with Full _x000a_Religous Exemption" totalsRowFunction="sum"/>
    <tableColumn id="8" xr3:uid="{4F61BFD5-730D-4E78-800D-C50F8ED01DEF}" name="% with Full _x000a_Religous Exemption" totalsRowFunction="custom" dataDxfId="5" totalsRowDxfId="1" dataCellStyle="Percent" totalsRowCellStyle="Percent">
      <calculatedColumnFormula>Table5[[#This Row],['# with Full 
Religous Exemption]]/Table5[[#This Row],['# of Students]]</calculatedColumnFormula>
      <totalsRowFormula>Table5[[#Totals],['# with Full 
Religous Exemption]]/Table5[[#Totals],['# of Students]]</totalsRowFormula>
    </tableColumn>
    <tableColumn id="9" xr3:uid="{F5F58A4E-59EC-44ED-B364-44CE9EBCEB27}" name="# UTD with _x000a_Partial Religious Exemption" totalsRowFunction="sum"/>
    <tableColumn id="10" xr3:uid="{7DE3023E-AEB0-47F0-AE9A-A3ABF4C1AA4B}" name="% UTD with _x000a_Partial Religious Exemption" totalsRowFunction="custom" dataDxfId="4" totalsRowDxfId="0" dataCellStyle="Percent" totalsRowCellStyle="Percent">
      <calculatedColumnFormula>Table5[[#This Row],['# UTD with 
Partial Religious Exemption]]/Table5[[#This Row],['# of Students]]</calculatedColumnFormula>
      <totalsRowFormula>Table5[[#Totals],['# UTD with 
Partial Religious Exemption]]/Table5[[#Totals],['# of Students]]</totalsRow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0ED0-8F49-4A2A-ABA6-8E2A0717A58D}">
  <dimension ref="A1:J69"/>
  <sheetViews>
    <sheetView tabSelected="1" workbookViewId="0">
      <selection activeCell="B69" sqref="B69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20.7109375" bestFit="1" customWidth="1"/>
    <col min="4" max="4" width="20.7109375" style="3" bestFit="1" customWidth="1"/>
    <col min="5" max="5" width="27" bestFit="1" customWidth="1"/>
    <col min="6" max="6" width="25.85546875" style="3" bestFit="1" customWidth="1"/>
    <col min="7" max="7" width="21.140625" bestFit="1" customWidth="1"/>
    <col min="8" max="8" width="21.140625" style="3" bestFit="1" customWidth="1"/>
    <col min="9" max="9" width="28.140625" bestFit="1" customWidth="1"/>
    <col min="10" max="10" width="28.140625" style="3" bestFit="1" customWidth="1"/>
  </cols>
  <sheetData>
    <row r="1" spans="1:10" ht="30" x14ac:dyDescent="0.25">
      <c r="A1" t="s">
        <v>0</v>
      </c>
      <c r="B1" t="s">
        <v>68</v>
      </c>
      <c r="C1" s="1" t="s">
        <v>69</v>
      </c>
      <c r="D1" s="2" t="s">
        <v>70</v>
      </c>
      <c r="E1" s="1" t="s">
        <v>71</v>
      </c>
      <c r="F1" s="2" t="s">
        <v>72</v>
      </c>
      <c r="G1" s="1" t="s">
        <v>73</v>
      </c>
      <c r="H1" s="2" t="s">
        <v>74</v>
      </c>
      <c r="I1" s="1" t="s">
        <v>75</v>
      </c>
      <c r="J1" s="2" t="s">
        <v>76</v>
      </c>
    </row>
    <row r="2" spans="1:10" x14ac:dyDescent="0.25">
      <c r="A2" t="s">
        <v>1</v>
      </c>
      <c r="B2">
        <v>796</v>
      </c>
      <c r="C2">
        <v>0</v>
      </c>
      <c r="D2" s="3">
        <f>Table1[[#This Row],['# with Full 
Medical Exemption]]/Table1[[#This Row],['# of Students]]</f>
        <v>0</v>
      </c>
      <c r="E2">
        <v>1</v>
      </c>
      <c r="F2" s="3">
        <f>Table1[[#This Row],['# UTD with 
Partial Medical Exemption]]/Table1[[#This Row],['# of Students]]</f>
        <v>1.2562814070351759E-3</v>
      </c>
      <c r="G2">
        <v>6</v>
      </c>
      <c r="H2" s="3">
        <f>Table1[[#This Row],['# with Full 
Religous Exemption]]/Table1[[#This Row],['# of Students]]</f>
        <v>7.537688442211055E-3</v>
      </c>
      <c r="I2">
        <v>0</v>
      </c>
      <c r="J2" s="3">
        <f>Table1[[#This Row],['# UTD with 
Partial Religious Exemption]]/Table1[[#This Row],['# of Students]]</f>
        <v>0</v>
      </c>
    </row>
    <row r="3" spans="1:10" x14ac:dyDescent="0.25">
      <c r="A3" t="s">
        <v>2</v>
      </c>
      <c r="B3">
        <v>2757</v>
      </c>
      <c r="C3">
        <v>1</v>
      </c>
      <c r="D3" s="3">
        <f>Table1[[#This Row],['# with Full 
Medical Exemption]]/Table1[[#This Row],['# of Students]]</f>
        <v>3.6271309394269132E-4</v>
      </c>
      <c r="E3">
        <v>9</v>
      </c>
      <c r="F3" s="3">
        <f>Table1[[#This Row],['# UTD with 
Partial Medical Exemption]]/Table1[[#This Row],['# of Students]]</f>
        <v>3.2644178454842221E-3</v>
      </c>
      <c r="G3">
        <v>40</v>
      </c>
      <c r="H3" s="3">
        <f>Table1[[#This Row],['# with Full 
Religous Exemption]]/Table1[[#This Row],['# of Students]]</f>
        <v>1.4508523757707652E-2</v>
      </c>
      <c r="I3">
        <v>0</v>
      </c>
      <c r="J3" s="3">
        <f>Table1[[#This Row],['# UTD with 
Partial Religious Exemption]]/Table1[[#This Row],['# of Students]]</f>
        <v>0</v>
      </c>
    </row>
    <row r="4" spans="1:10" x14ac:dyDescent="0.25">
      <c r="A4" t="s">
        <v>3</v>
      </c>
      <c r="B4">
        <v>657</v>
      </c>
      <c r="C4">
        <v>0</v>
      </c>
      <c r="D4" s="3">
        <f>Table1[[#This Row],['# with Full 
Medical Exemption]]/Table1[[#This Row],['# of Students]]</f>
        <v>0</v>
      </c>
      <c r="E4">
        <v>0</v>
      </c>
      <c r="F4" s="3">
        <f>Table1[[#This Row],['# UTD with 
Partial Medical Exemption]]/Table1[[#This Row],['# of Students]]</f>
        <v>0</v>
      </c>
      <c r="G4">
        <v>9</v>
      </c>
      <c r="H4" s="3">
        <f>Table1[[#This Row],['# with Full 
Religous Exemption]]/Table1[[#This Row],['# of Students]]</f>
        <v>1.3698630136986301E-2</v>
      </c>
      <c r="I4">
        <v>0</v>
      </c>
      <c r="J4" s="3">
        <f>Table1[[#This Row],['# UTD with 
Partial Religious Exemption]]/Table1[[#This Row],['# of Students]]</f>
        <v>0</v>
      </c>
    </row>
    <row r="5" spans="1:10" x14ac:dyDescent="0.25">
      <c r="A5" t="s">
        <v>4</v>
      </c>
      <c r="B5">
        <v>273</v>
      </c>
      <c r="C5">
        <v>0</v>
      </c>
      <c r="D5" s="3">
        <f>Table1[[#This Row],['# with Full 
Medical Exemption]]/Table1[[#This Row],['# of Students]]</f>
        <v>0</v>
      </c>
      <c r="E5">
        <v>0</v>
      </c>
      <c r="F5" s="3">
        <f>Table1[[#This Row],['# UTD with 
Partial Medical Exemption]]/Table1[[#This Row],['# of Students]]</f>
        <v>0</v>
      </c>
      <c r="G5">
        <v>1</v>
      </c>
      <c r="H5" s="3">
        <f>Table1[[#This Row],['# with Full 
Religous Exemption]]/Table1[[#This Row],['# of Students]]</f>
        <v>3.663003663003663E-3</v>
      </c>
      <c r="I5">
        <v>0</v>
      </c>
      <c r="J5" s="3">
        <f>Table1[[#This Row],['# UTD with 
Partial Religious Exemption]]/Table1[[#This Row],['# of Students]]</f>
        <v>0</v>
      </c>
    </row>
    <row r="6" spans="1:10" x14ac:dyDescent="0.25">
      <c r="A6" t="s">
        <v>5</v>
      </c>
      <c r="B6">
        <v>777</v>
      </c>
      <c r="C6">
        <v>1</v>
      </c>
      <c r="D6" s="3">
        <f>Table1[[#This Row],['# with Full 
Medical Exemption]]/Table1[[#This Row],['# of Students]]</f>
        <v>1.287001287001287E-3</v>
      </c>
      <c r="E6">
        <v>0</v>
      </c>
      <c r="F6" s="3">
        <f>Table1[[#This Row],['# UTD with 
Partial Medical Exemption]]/Table1[[#This Row],['# of Students]]</f>
        <v>0</v>
      </c>
      <c r="G6">
        <v>8</v>
      </c>
      <c r="H6" s="3">
        <f>Table1[[#This Row],['# with Full 
Religous Exemption]]/Table1[[#This Row],['# of Students]]</f>
        <v>1.0296010296010296E-2</v>
      </c>
      <c r="I6">
        <v>0</v>
      </c>
      <c r="J6" s="3">
        <f>Table1[[#This Row],['# UTD with 
Partial Religious Exemption]]/Table1[[#This Row],['# of Students]]</f>
        <v>0</v>
      </c>
    </row>
    <row r="7" spans="1:10" x14ac:dyDescent="0.25">
      <c r="A7" t="s">
        <v>6</v>
      </c>
      <c r="B7">
        <v>143</v>
      </c>
      <c r="C7">
        <v>0</v>
      </c>
      <c r="D7" s="3">
        <f>Table1[[#This Row],['# with Full 
Medical Exemption]]/Table1[[#This Row],['# of Students]]</f>
        <v>0</v>
      </c>
      <c r="E7">
        <v>0</v>
      </c>
      <c r="F7" s="3">
        <f>Table1[[#This Row],['# UTD with 
Partial Medical Exemption]]/Table1[[#This Row],['# of Students]]</f>
        <v>0</v>
      </c>
      <c r="G7">
        <v>0</v>
      </c>
      <c r="H7" s="3">
        <f>Table1[[#This Row],['# with Full 
Religous Exemption]]/Table1[[#This Row],['# of Students]]</f>
        <v>0</v>
      </c>
      <c r="I7">
        <v>0</v>
      </c>
      <c r="J7" s="3">
        <f>Table1[[#This Row],['# UTD with 
Partial Religious Exemption]]/Table1[[#This Row],['# of Students]]</f>
        <v>0</v>
      </c>
    </row>
    <row r="8" spans="1:10" x14ac:dyDescent="0.25">
      <c r="A8" t="s">
        <v>7</v>
      </c>
      <c r="B8">
        <v>278</v>
      </c>
      <c r="C8">
        <v>0</v>
      </c>
      <c r="D8" s="3">
        <f>Table1[[#This Row],['# with Full 
Medical Exemption]]/Table1[[#This Row],['# of Students]]</f>
        <v>0</v>
      </c>
      <c r="E8">
        <v>0</v>
      </c>
      <c r="F8" s="3">
        <f>Table1[[#This Row],['# UTD with 
Partial Medical Exemption]]/Table1[[#This Row],['# of Students]]</f>
        <v>0</v>
      </c>
      <c r="G8">
        <v>1</v>
      </c>
      <c r="H8" s="3">
        <f>Table1[[#This Row],['# with Full 
Religous Exemption]]/Table1[[#This Row],['# of Students]]</f>
        <v>3.5971223021582736E-3</v>
      </c>
      <c r="I8">
        <v>0</v>
      </c>
      <c r="J8" s="3">
        <f>Table1[[#This Row],['# UTD with 
Partial Religious Exemption]]/Table1[[#This Row],['# of Students]]</f>
        <v>0</v>
      </c>
    </row>
    <row r="9" spans="1:10" x14ac:dyDescent="0.25">
      <c r="A9" t="s">
        <v>8</v>
      </c>
      <c r="B9">
        <v>1380</v>
      </c>
      <c r="C9">
        <v>1</v>
      </c>
      <c r="D9" s="3">
        <f>Table1[[#This Row],['# with Full 
Medical Exemption]]/Table1[[#This Row],['# of Students]]</f>
        <v>7.246376811594203E-4</v>
      </c>
      <c r="E9">
        <v>0</v>
      </c>
      <c r="F9" s="3">
        <f>Table1[[#This Row],['# UTD with 
Partial Medical Exemption]]/Table1[[#This Row],['# of Students]]</f>
        <v>0</v>
      </c>
      <c r="G9">
        <v>7</v>
      </c>
      <c r="H9" s="3">
        <f>Table1[[#This Row],['# with Full 
Religous Exemption]]/Table1[[#This Row],['# of Students]]</f>
        <v>5.0724637681159417E-3</v>
      </c>
      <c r="I9">
        <v>0</v>
      </c>
      <c r="J9" s="3">
        <f>Table1[[#This Row],['# UTD with 
Partial Religious Exemption]]/Table1[[#This Row],['# of Students]]</f>
        <v>0</v>
      </c>
    </row>
    <row r="10" spans="1:10" x14ac:dyDescent="0.25">
      <c r="A10" t="s">
        <v>9</v>
      </c>
      <c r="B10">
        <v>391</v>
      </c>
      <c r="C10">
        <v>0</v>
      </c>
      <c r="D10" s="3">
        <f>Table1[[#This Row],['# with Full 
Medical Exemption]]/Table1[[#This Row],['# of Students]]</f>
        <v>0</v>
      </c>
      <c r="E10">
        <v>0</v>
      </c>
      <c r="F10" s="3">
        <f>Table1[[#This Row],['# UTD with 
Partial Medical Exemption]]/Table1[[#This Row],['# of Students]]</f>
        <v>0</v>
      </c>
      <c r="G10">
        <v>0</v>
      </c>
      <c r="H10" s="3">
        <f>Table1[[#This Row],['# with Full 
Religous Exemption]]/Table1[[#This Row],['# of Students]]</f>
        <v>0</v>
      </c>
      <c r="I10">
        <v>0</v>
      </c>
      <c r="J10" s="3">
        <f>Table1[[#This Row],['# UTD with 
Partial Religious Exemption]]/Table1[[#This Row],['# of Students]]</f>
        <v>0</v>
      </c>
    </row>
    <row r="11" spans="1:10" x14ac:dyDescent="0.25">
      <c r="A11" t="s">
        <v>10</v>
      </c>
      <c r="B11">
        <v>335</v>
      </c>
      <c r="C11">
        <v>0</v>
      </c>
      <c r="D11" s="3">
        <f>Table1[[#This Row],['# with Full 
Medical Exemption]]/Table1[[#This Row],['# of Students]]</f>
        <v>0</v>
      </c>
      <c r="E11">
        <v>0</v>
      </c>
      <c r="F11" s="3">
        <f>Table1[[#This Row],['# UTD with 
Partial Medical Exemption]]/Table1[[#This Row],['# of Students]]</f>
        <v>0</v>
      </c>
      <c r="G11">
        <v>1</v>
      </c>
      <c r="H11" s="3">
        <f>Table1[[#This Row],['# with Full 
Religous Exemption]]/Table1[[#This Row],['# of Students]]</f>
        <v>2.9850746268656717E-3</v>
      </c>
      <c r="I11">
        <v>0</v>
      </c>
      <c r="J11" s="3">
        <f>Table1[[#This Row],['# UTD with 
Partial Religious Exemption]]/Table1[[#This Row],['# of Students]]</f>
        <v>0</v>
      </c>
    </row>
    <row r="12" spans="1:10" x14ac:dyDescent="0.25">
      <c r="A12" t="s">
        <v>11</v>
      </c>
      <c r="B12">
        <v>645</v>
      </c>
      <c r="C12">
        <v>0</v>
      </c>
      <c r="D12" s="3">
        <f>Table1[[#This Row],['# with Full 
Medical Exemption]]/Table1[[#This Row],['# of Students]]</f>
        <v>0</v>
      </c>
      <c r="E12">
        <v>0</v>
      </c>
      <c r="F12" s="3">
        <f>Table1[[#This Row],['# UTD with 
Partial Medical Exemption]]/Table1[[#This Row],['# of Students]]</f>
        <v>0</v>
      </c>
      <c r="G12">
        <v>5</v>
      </c>
      <c r="H12" s="3">
        <f>Table1[[#This Row],['# with Full 
Religous Exemption]]/Table1[[#This Row],['# of Students]]</f>
        <v>7.7519379844961239E-3</v>
      </c>
      <c r="I12">
        <v>0</v>
      </c>
      <c r="J12" s="3">
        <f>Table1[[#This Row],['# UTD with 
Partial Religious Exemption]]/Table1[[#This Row],['# of Students]]</f>
        <v>0</v>
      </c>
    </row>
    <row r="13" spans="1:10" x14ac:dyDescent="0.25">
      <c r="A13" t="s">
        <v>12</v>
      </c>
      <c r="B13">
        <v>117</v>
      </c>
      <c r="C13">
        <v>0</v>
      </c>
      <c r="D13" s="3">
        <f>Table1[[#This Row],['# with Full 
Medical Exemption]]/Table1[[#This Row],['# of Students]]</f>
        <v>0</v>
      </c>
      <c r="E13">
        <v>1</v>
      </c>
      <c r="F13" s="3">
        <f>Table1[[#This Row],['# UTD with 
Partial Medical Exemption]]/Table1[[#This Row],['# of Students]]</f>
        <v>8.5470085470085479E-3</v>
      </c>
      <c r="G13">
        <v>0</v>
      </c>
      <c r="H13" s="3">
        <f>Table1[[#This Row],['# with Full 
Religous Exemption]]/Table1[[#This Row],['# of Students]]</f>
        <v>0</v>
      </c>
      <c r="I13">
        <v>0</v>
      </c>
      <c r="J13" s="3">
        <f>Table1[[#This Row],['# UTD with 
Partial Religious Exemption]]/Table1[[#This Row],['# of Students]]</f>
        <v>0</v>
      </c>
    </row>
    <row r="14" spans="1:10" x14ac:dyDescent="0.25">
      <c r="A14" t="s">
        <v>13</v>
      </c>
      <c r="B14">
        <v>267</v>
      </c>
      <c r="C14">
        <v>1</v>
      </c>
      <c r="D14" s="3">
        <f>Table1[[#This Row],['# with Full 
Medical Exemption]]/Table1[[#This Row],['# of Students]]</f>
        <v>3.7453183520599251E-3</v>
      </c>
      <c r="E14">
        <v>0</v>
      </c>
      <c r="F14" s="3">
        <f>Table1[[#This Row],['# UTD with 
Partial Medical Exemption]]/Table1[[#This Row],['# of Students]]</f>
        <v>0</v>
      </c>
      <c r="G14">
        <v>0</v>
      </c>
      <c r="H14" s="3">
        <f>Table1[[#This Row],['# with Full 
Religous Exemption]]/Table1[[#This Row],['# of Students]]</f>
        <v>0</v>
      </c>
      <c r="I14">
        <v>0</v>
      </c>
      <c r="J14" s="3">
        <f>Table1[[#This Row],['# UTD with 
Partial Religious Exemption]]/Table1[[#This Row],['# of Students]]</f>
        <v>0</v>
      </c>
    </row>
    <row r="15" spans="1:10" x14ac:dyDescent="0.25">
      <c r="A15" t="s">
        <v>14</v>
      </c>
      <c r="B15">
        <v>176</v>
      </c>
      <c r="C15">
        <v>0</v>
      </c>
      <c r="D15" s="3">
        <f>Table1[[#This Row],['# with Full 
Medical Exemption]]/Table1[[#This Row],['# of Students]]</f>
        <v>0</v>
      </c>
      <c r="E15">
        <v>0</v>
      </c>
      <c r="F15" s="3">
        <f>Table1[[#This Row],['# UTD with 
Partial Medical Exemption]]/Table1[[#This Row],['# of Students]]</f>
        <v>0</v>
      </c>
      <c r="G15">
        <v>4</v>
      </c>
      <c r="H15" s="3">
        <f>Table1[[#This Row],['# with Full 
Religous Exemption]]/Table1[[#This Row],['# of Students]]</f>
        <v>2.2727272727272728E-2</v>
      </c>
      <c r="I15">
        <v>0</v>
      </c>
      <c r="J15" s="3">
        <f>Table1[[#This Row],['# UTD with 
Partial Religious Exemption]]/Table1[[#This Row],['# of Students]]</f>
        <v>0</v>
      </c>
    </row>
    <row r="16" spans="1:10" x14ac:dyDescent="0.25">
      <c r="A16" t="s">
        <v>15</v>
      </c>
      <c r="B16">
        <v>223</v>
      </c>
      <c r="C16">
        <v>0</v>
      </c>
      <c r="D16" s="3">
        <f>Table1[[#This Row],['# with Full 
Medical Exemption]]/Table1[[#This Row],['# of Students]]</f>
        <v>0</v>
      </c>
      <c r="E16">
        <v>0</v>
      </c>
      <c r="F16" s="3">
        <f>Table1[[#This Row],['# UTD with 
Partial Medical Exemption]]/Table1[[#This Row],['# of Students]]</f>
        <v>0</v>
      </c>
      <c r="G16">
        <v>2</v>
      </c>
      <c r="H16" s="3">
        <f>Table1[[#This Row],['# with Full 
Religous Exemption]]/Table1[[#This Row],['# of Students]]</f>
        <v>8.9686098654708519E-3</v>
      </c>
      <c r="I16">
        <v>0</v>
      </c>
      <c r="J16" s="3">
        <f>Table1[[#This Row],['# UTD with 
Partial Religious Exemption]]/Table1[[#This Row],['# of Students]]</f>
        <v>0</v>
      </c>
    </row>
    <row r="17" spans="1:10" x14ac:dyDescent="0.25">
      <c r="A17" t="s">
        <v>16</v>
      </c>
      <c r="B17">
        <v>831</v>
      </c>
      <c r="C17">
        <v>0</v>
      </c>
      <c r="D17" s="3">
        <f>Table1[[#This Row],['# with Full 
Medical Exemption]]/Table1[[#This Row],['# of Students]]</f>
        <v>0</v>
      </c>
      <c r="E17">
        <v>2</v>
      </c>
      <c r="F17" s="3">
        <f>Table1[[#This Row],['# UTD with 
Partial Medical Exemption]]/Table1[[#This Row],['# of Students]]</f>
        <v>2.4067388688327317E-3</v>
      </c>
      <c r="G17">
        <v>7</v>
      </c>
      <c r="H17" s="3">
        <f>Table1[[#This Row],['# with Full 
Religous Exemption]]/Table1[[#This Row],['# of Students]]</f>
        <v>8.4235860409145602E-3</v>
      </c>
      <c r="I17">
        <v>0</v>
      </c>
      <c r="J17" s="3">
        <f>Table1[[#This Row],['# UTD with 
Partial Religious Exemption]]/Table1[[#This Row],['# of Students]]</f>
        <v>0</v>
      </c>
    </row>
    <row r="18" spans="1:10" x14ac:dyDescent="0.25">
      <c r="A18" t="s">
        <v>17</v>
      </c>
      <c r="B18">
        <v>619</v>
      </c>
      <c r="C18">
        <v>1</v>
      </c>
      <c r="D18" s="3">
        <f>Table1[[#This Row],['# with Full 
Medical Exemption]]/Table1[[#This Row],['# of Students]]</f>
        <v>1.6155088852988692E-3</v>
      </c>
      <c r="E18">
        <v>0</v>
      </c>
      <c r="F18" s="3">
        <f>Table1[[#This Row],['# UTD with 
Partial Medical Exemption]]/Table1[[#This Row],['# of Students]]</f>
        <v>0</v>
      </c>
      <c r="G18">
        <v>4</v>
      </c>
      <c r="H18" s="3">
        <f>Table1[[#This Row],['# with Full 
Religous Exemption]]/Table1[[#This Row],['# of Students]]</f>
        <v>6.462035541195477E-3</v>
      </c>
      <c r="I18">
        <v>0</v>
      </c>
      <c r="J18" s="3">
        <f>Table1[[#This Row],['# UTD with 
Partial Religious Exemption]]/Table1[[#This Row],['# of Students]]</f>
        <v>0</v>
      </c>
    </row>
    <row r="19" spans="1:10" x14ac:dyDescent="0.25">
      <c r="A19" t="s">
        <v>18</v>
      </c>
      <c r="B19">
        <v>110</v>
      </c>
      <c r="C19">
        <v>0</v>
      </c>
      <c r="D19" s="3">
        <f>Table1[[#This Row],['# with Full 
Medical Exemption]]/Table1[[#This Row],['# of Students]]</f>
        <v>0</v>
      </c>
      <c r="E19">
        <v>0</v>
      </c>
      <c r="F19" s="3">
        <f>Table1[[#This Row],['# UTD with 
Partial Medical Exemption]]/Table1[[#This Row],['# of Students]]</f>
        <v>0</v>
      </c>
      <c r="G19">
        <v>0</v>
      </c>
      <c r="H19" s="3">
        <f>Table1[[#This Row],['# with Full 
Religous Exemption]]/Table1[[#This Row],['# of Students]]</f>
        <v>0</v>
      </c>
      <c r="I19">
        <v>0</v>
      </c>
      <c r="J19" s="3">
        <f>Table1[[#This Row],['# UTD with 
Partial Religious Exemption]]/Table1[[#This Row],['# of Students]]</f>
        <v>0</v>
      </c>
    </row>
    <row r="20" spans="1:10" x14ac:dyDescent="0.25">
      <c r="A20" t="s">
        <v>19</v>
      </c>
      <c r="B20">
        <v>8</v>
      </c>
      <c r="C20">
        <v>0</v>
      </c>
      <c r="D20" s="3">
        <f>Table1[[#This Row],['# with Full 
Medical Exemption]]/Table1[[#This Row],['# of Students]]</f>
        <v>0</v>
      </c>
      <c r="E20">
        <v>0</v>
      </c>
      <c r="F20" s="3">
        <f>Table1[[#This Row],['# UTD with 
Partial Medical Exemption]]/Table1[[#This Row],['# of Students]]</f>
        <v>0</v>
      </c>
      <c r="G20">
        <v>0</v>
      </c>
      <c r="H20" s="3">
        <f>Table1[[#This Row],['# with Full 
Religous Exemption]]/Table1[[#This Row],['# of Students]]</f>
        <v>0</v>
      </c>
      <c r="I20">
        <v>0</v>
      </c>
      <c r="J20" s="3">
        <f>Table1[[#This Row],['# UTD with 
Partial Religious Exemption]]/Table1[[#This Row],['# of Students]]</f>
        <v>0</v>
      </c>
    </row>
    <row r="21" spans="1:10" x14ac:dyDescent="0.25">
      <c r="A21" t="s">
        <v>20</v>
      </c>
      <c r="B21">
        <v>438</v>
      </c>
      <c r="C21">
        <v>0</v>
      </c>
      <c r="D21" s="3">
        <f>Table1[[#This Row],['# with Full 
Medical Exemption]]/Table1[[#This Row],['# of Students]]</f>
        <v>0</v>
      </c>
      <c r="E21">
        <v>1</v>
      </c>
      <c r="F21" s="3">
        <f>Table1[[#This Row],['# UTD with 
Partial Medical Exemption]]/Table1[[#This Row],['# of Students]]</f>
        <v>2.2831050228310501E-3</v>
      </c>
      <c r="G21">
        <v>1</v>
      </c>
      <c r="H21" s="3">
        <f>Table1[[#This Row],['# with Full 
Religous Exemption]]/Table1[[#This Row],['# of Students]]</f>
        <v>2.2831050228310501E-3</v>
      </c>
      <c r="I21">
        <v>0</v>
      </c>
      <c r="J21" s="3">
        <f>Table1[[#This Row],['# UTD with 
Partial Religious Exemption]]/Table1[[#This Row],['# of Students]]</f>
        <v>0</v>
      </c>
    </row>
    <row r="22" spans="1:10" x14ac:dyDescent="0.25">
      <c r="A22" t="s">
        <v>21</v>
      </c>
      <c r="B22">
        <v>184</v>
      </c>
      <c r="C22">
        <v>0</v>
      </c>
      <c r="D22" s="3">
        <f>Table1[[#This Row],['# with Full 
Medical Exemption]]/Table1[[#This Row],['# of Students]]</f>
        <v>0</v>
      </c>
      <c r="E22">
        <v>0</v>
      </c>
      <c r="F22" s="3">
        <f>Table1[[#This Row],['# UTD with 
Partial Medical Exemption]]/Table1[[#This Row],['# of Students]]</f>
        <v>0</v>
      </c>
      <c r="G22">
        <v>1</v>
      </c>
      <c r="H22" s="3">
        <f>Table1[[#This Row],['# with Full 
Religous Exemption]]/Table1[[#This Row],['# of Students]]</f>
        <v>5.434782608695652E-3</v>
      </c>
      <c r="I22">
        <v>0</v>
      </c>
      <c r="J22" s="3">
        <f>Table1[[#This Row],['# UTD with 
Partial Religious Exemption]]/Table1[[#This Row],['# of Students]]</f>
        <v>0</v>
      </c>
    </row>
    <row r="23" spans="1:10" x14ac:dyDescent="0.25">
      <c r="A23" t="s">
        <v>22</v>
      </c>
      <c r="B23">
        <v>976</v>
      </c>
      <c r="C23">
        <v>0</v>
      </c>
      <c r="D23" s="3">
        <f>Table1[[#This Row],['# with Full 
Medical Exemption]]/Table1[[#This Row],['# of Students]]</f>
        <v>0</v>
      </c>
      <c r="E23">
        <v>0</v>
      </c>
      <c r="F23" s="3">
        <f>Table1[[#This Row],['# UTD with 
Partial Medical Exemption]]/Table1[[#This Row],['# of Students]]</f>
        <v>0</v>
      </c>
      <c r="G23">
        <v>15</v>
      </c>
      <c r="H23" s="3">
        <f>Table1[[#This Row],['# with Full 
Religous Exemption]]/Table1[[#This Row],['# of Students]]</f>
        <v>1.5368852459016393E-2</v>
      </c>
      <c r="I23">
        <v>0</v>
      </c>
      <c r="J23" s="3">
        <f>Table1[[#This Row],['# UTD with 
Partial Religious Exemption]]/Table1[[#This Row],['# of Students]]</f>
        <v>0</v>
      </c>
    </row>
    <row r="24" spans="1:10" x14ac:dyDescent="0.25">
      <c r="A24" t="s">
        <v>23</v>
      </c>
      <c r="B24">
        <v>484</v>
      </c>
      <c r="C24">
        <v>0</v>
      </c>
      <c r="D24" s="3">
        <f>Table1[[#This Row],['# with Full 
Medical Exemption]]/Table1[[#This Row],['# of Students]]</f>
        <v>0</v>
      </c>
      <c r="E24">
        <v>0</v>
      </c>
      <c r="F24" s="3">
        <f>Table1[[#This Row],['# UTD with 
Partial Medical Exemption]]/Table1[[#This Row],['# of Students]]</f>
        <v>0</v>
      </c>
      <c r="G24">
        <v>2</v>
      </c>
      <c r="H24" s="3">
        <f>Table1[[#This Row],['# with Full 
Religous Exemption]]/Table1[[#This Row],['# of Students]]</f>
        <v>4.1322314049586778E-3</v>
      </c>
      <c r="I24">
        <v>0</v>
      </c>
      <c r="J24" s="3">
        <f>Table1[[#This Row],['# UTD with 
Partial Religious Exemption]]/Table1[[#This Row],['# of Students]]</f>
        <v>0</v>
      </c>
    </row>
    <row r="25" spans="1:10" x14ac:dyDescent="0.25">
      <c r="A25" t="s">
        <v>24</v>
      </c>
      <c r="B25">
        <v>240</v>
      </c>
      <c r="C25">
        <v>0</v>
      </c>
      <c r="D25" s="3">
        <f>Table1[[#This Row],['# with Full 
Medical Exemption]]/Table1[[#This Row],['# of Students]]</f>
        <v>0</v>
      </c>
      <c r="E25">
        <v>0</v>
      </c>
      <c r="F25" s="3">
        <f>Table1[[#This Row],['# UTD with 
Partial Medical Exemption]]/Table1[[#This Row],['# of Students]]</f>
        <v>0</v>
      </c>
      <c r="G25">
        <v>0</v>
      </c>
      <c r="H25" s="3">
        <f>Table1[[#This Row],['# with Full 
Religous Exemption]]/Table1[[#This Row],['# of Students]]</f>
        <v>0</v>
      </c>
      <c r="I25">
        <v>0</v>
      </c>
      <c r="J25" s="3">
        <f>Table1[[#This Row],['# UTD with 
Partial Religious Exemption]]/Table1[[#This Row],['# of Students]]</f>
        <v>0</v>
      </c>
    </row>
    <row r="26" spans="1:10" x14ac:dyDescent="0.25">
      <c r="A26" t="s">
        <v>25</v>
      </c>
      <c r="B26">
        <v>997</v>
      </c>
      <c r="C26">
        <v>0</v>
      </c>
      <c r="D26" s="3">
        <f>Table1[[#This Row],['# with Full 
Medical Exemption]]/Table1[[#This Row],['# of Students]]</f>
        <v>0</v>
      </c>
      <c r="E26">
        <v>0</v>
      </c>
      <c r="F26" s="3">
        <f>Table1[[#This Row],['# UTD with 
Partial Medical Exemption]]/Table1[[#This Row],['# of Students]]</f>
        <v>0</v>
      </c>
      <c r="G26">
        <v>5</v>
      </c>
      <c r="H26" s="3">
        <f>Table1[[#This Row],['# with Full 
Religous Exemption]]/Table1[[#This Row],['# of Students]]</f>
        <v>5.0150451354062184E-3</v>
      </c>
      <c r="I26">
        <v>1</v>
      </c>
      <c r="J26" s="3">
        <f>Table1[[#This Row],['# UTD with 
Partial Religious Exemption]]/Table1[[#This Row],['# of Students]]</f>
        <v>1.0030090270812437E-3</v>
      </c>
    </row>
    <row r="27" spans="1:10" x14ac:dyDescent="0.25">
      <c r="A27" t="s">
        <v>26</v>
      </c>
      <c r="B27">
        <v>1079</v>
      </c>
      <c r="C27">
        <v>0</v>
      </c>
      <c r="D27" s="3">
        <f>Table1[[#This Row],['# with Full 
Medical Exemption]]/Table1[[#This Row],['# of Students]]</f>
        <v>0</v>
      </c>
      <c r="E27">
        <v>1</v>
      </c>
      <c r="F27" s="3">
        <f>Table1[[#This Row],['# UTD with 
Partial Medical Exemption]]/Table1[[#This Row],['# of Students]]</f>
        <v>9.2678405931417981E-4</v>
      </c>
      <c r="G27">
        <v>10</v>
      </c>
      <c r="H27" s="3">
        <f>Table1[[#This Row],['# with Full 
Religous Exemption]]/Table1[[#This Row],['# of Students]]</f>
        <v>9.2678405931417972E-3</v>
      </c>
      <c r="I27">
        <v>0</v>
      </c>
      <c r="J27" s="3">
        <f>Table1[[#This Row],['# UTD with 
Partial Religious Exemption]]/Table1[[#This Row],['# of Students]]</f>
        <v>0</v>
      </c>
    </row>
    <row r="28" spans="1:10" x14ac:dyDescent="0.25">
      <c r="A28" t="s">
        <v>27</v>
      </c>
      <c r="B28">
        <v>399</v>
      </c>
      <c r="C28">
        <v>0</v>
      </c>
      <c r="D28" s="3">
        <f>Table1[[#This Row],['# with Full 
Medical Exemption]]/Table1[[#This Row],['# of Students]]</f>
        <v>0</v>
      </c>
      <c r="E28">
        <v>0</v>
      </c>
      <c r="F28" s="3">
        <f>Table1[[#This Row],['# UTD with 
Partial Medical Exemption]]/Table1[[#This Row],['# of Students]]</f>
        <v>0</v>
      </c>
      <c r="G28">
        <v>2</v>
      </c>
      <c r="H28" s="3">
        <f>Table1[[#This Row],['# with Full 
Religous Exemption]]/Table1[[#This Row],['# of Students]]</f>
        <v>5.0125313283208017E-3</v>
      </c>
      <c r="I28">
        <v>0</v>
      </c>
      <c r="J28" s="3">
        <f>Table1[[#This Row],['# UTD with 
Partial Religious Exemption]]/Table1[[#This Row],['# of Students]]</f>
        <v>0</v>
      </c>
    </row>
    <row r="29" spans="1:10" x14ac:dyDescent="0.25">
      <c r="A29" t="s">
        <v>28</v>
      </c>
      <c r="B29">
        <v>1239</v>
      </c>
      <c r="C29">
        <v>0</v>
      </c>
      <c r="D29" s="3">
        <f>Table1[[#This Row],['# with Full 
Medical Exemption]]/Table1[[#This Row],['# of Students]]</f>
        <v>0</v>
      </c>
      <c r="E29">
        <v>1</v>
      </c>
      <c r="F29" s="3">
        <f>Table1[[#This Row],['# UTD with 
Partial Medical Exemption]]/Table1[[#This Row],['# of Students]]</f>
        <v>8.0710250201775622E-4</v>
      </c>
      <c r="G29">
        <v>13</v>
      </c>
      <c r="H29" s="3">
        <f>Table1[[#This Row],['# with Full 
Religous Exemption]]/Table1[[#This Row],['# of Students]]</f>
        <v>1.0492332526230832E-2</v>
      </c>
      <c r="I29">
        <v>0</v>
      </c>
      <c r="J29" s="3">
        <f>Table1[[#This Row],['# UTD with 
Partial Religious Exemption]]/Table1[[#This Row],['# of Students]]</f>
        <v>0</v>
      </c>
    </row>
    <row r="30" spans="1:10" x14ac:dyDescent="0.25">
      <c r="A30" t="s">
        <v>29</v>
      </c>
      <c r="B30">
        <v>177</v>
      </c>
      <c r="C30">
        <v>0</v>
      </c>
      <c r="D30" s="3">
        <f>Table1[[#This Row],['# with Full 
Medical Exemption]]/Table1[[#This Row],['# of Students]]</f>
        <v>0</v>
      </c>
      <c r="E30">
        <v>0</v>
      </c>
      <c r="F30" s="3">
        <f>Table1[[#This Row],['# UTD with 
Partial Medical Exemption]]/Table1[[#This Row],['# of Students]]</f>
        <v>0</v>
      </c>
      <c r="G30">
        <v>0</v>
      </c>
      <c r="H30" s="3">
        <f>Table1[[#This Row],['# with Full 
Religous Exemption]]/Table1[[#This Row],['# of Students]]</f>
        <v>0</v>
      </c>
      <c r="I30">
        <v>0</v>
      </c>
      <c r="J30" s="3">
        <f>Table1[[#This Row],['# UTD with 
Partial Religious Exemption]]/Table1[[#This Row],['# of Students]]</f>
        <v>0</v>
      </c>
    </row>
    <row r="31" spans="1:10" x14ac:dyDescent="0.25">
      <c r="A31" t="s">
        <v>30</v>
      </c>
      <c r="B31">
        <v>452</v>
      </c>
      <c r="C31">
        <v>0</v>
      </c>
      <c r="D31" s="3">
        <f>Table1[[#This Row],['# with Full 
Medical Exemption]]/Table1[[#This Row],['# of Students]]</f>
        <v>0</v>
      </c>
      <c r="E31">
        <v>0</v>
      </c>
      <c r="F31" s="3">
        <f>Table1[[#This Row],['# UTD with 
Partial Medical Exemption]]/Table1[[#This Row],['# of Students]]</f>
        <v>0</v>
      </c>
      <c r="G31">
        <v>2</v>
      </c>
      <c r="H31" s="3">
        <f>Table1[[#This Row],['# with Full 
Religous Exemption]]/Table1[[#This Row],['# of Students]]</f>
        <v>4.4247787610619468E-3</v>
      </c>
      <c r="I31">
        <v>0</v>
      </c>
      <c r="J31" s="3">
        <f>Table1[[#This Row],['# UTD with 
Partial Religious Exemption]]/Table1[[#This Row],['# of Students]]</f>
        <v>0</v>
      </c>
    </row>
    <row r="32" spans="1:10" x14ac:dyDescent="0.25">
      <c r="A32" t="s">
        <v>31</v>
      </c>
      <c r="B32">
        <v>325</v>
      </c>
      <c r="C32">
        <v>1</v>
      </c>
      <c r="D32" s="3">
        <f>Table1[[#This Row],['# with Full 
Medical Exemption]]/Table1[[#This Row],['# of Students]]</f>
        <v>3.0769230769230769E-3</v>
      </c>
      <c r="E32">
        <v>1</v>
      </c>
      <c r="F32" s="3">
        <f>Table1[[#This Row],['# UTD with 
Partial Medical Exemption]]/Table1[[#This Row],['# of Students]]</f>
        <v>3.0769230769230769E-3</v>
      </c>
      <c r="G32">
        <v>0</v>
      </c>
      <c r="H32" s="3">
        <f>Table1[[#This Row],['# with Full 
Religous Exemption]]/Table1[[#This Row],['# of Students]]</f>
        <v>0</v>
      </c>
      <c r="I32">
        <v>0</v>
      </c>
      <c r="J32" s="3">
        <f>Table1[[#This Row],['# UTD with 
Partial Religious Exemption]]/Table1[[#This Row],['# of Students]]</f>
        <v>0</v>
      </c>
    </row>
    <row r="33" spans="1:10" x14ac:dyDescent="0.25">
      <c r="A33" t="s">
        <v>32</v>
      </c>
      <c r="B33">
        <v>61</v>
      </c>
      <c r="C33">
        <v>0</v>
      </c>
      <c r="D33" s="3">
        <f>Table1[[#This Row],['# with Full 
Medical Exemption]]/Table1[[#This Row],['# of Students]]</f>
        <v>0</v>
      </c>
      <c r="E33">
        <v>0</v>
      </c>
      <c r="F33" s="3">
        <f>Table1[[#This Row],['# UTD with 
Partial Medical Exemption]]/Table1[[#This Row],['# of Students]]</f>
        <v>0</v>
      </c>
      <c r="G33">
        <v>0</v>
      </c>
      <c r="H33" s="3">
        <f>Table1[[#This Row],['# with Full 
Religous Exemption]]/Table1[[#This Row],['# of Students]]</f>
        <v>0</v>
      </c>
      <c r="I33">
        <v>0</v>
      </c>
      <c r="J33" s="3">
        <f>Table1[[#This Row],['# UTD with 
Partial Religious Exemption]]/Table1[[#This Row],['# of Students]]</f>
        <v>0</v>
      </c>
    </row>
    <row r="34" spans="1:10" x14ac:dyDescent="0.25">
      <c r="A34" t="s">
        <v>33</v>
      </c>
      <c r="B34">
        <v>210</v>
      </c>
      <c r="C34">
        <v>0</v>
      </c>
      <c r="D34" s="3">
        <f>Table1[[#This Row],['# with Full 
Medical Exemption]]/Table1[[#This Row],['# of Students]]</f>
        <v>0</v>
      </c>
      <c r="E34">
        <v>0</v>
      </c>
      <c r="F34" s="3">
        <f>Table1[[#This Row],['# UTD with 
Partial Medical Exemption]]/Table1[[#This Row],['# of Students]]</f>
        <v>0</v>
      </c>
      <c r="G34">
        <v>0</v>
      </c>
      <c r="H34" s="3">
        <f>Table1[[#This Row],['# with Full 
Religous Exemption]]/Table1[[#This Row],['# of Students]]</f>
        <v>0</v>
      </c>
      <c r="I34">
        <v>0</v>
      </c>
      <c r="J34" s="3">
        <f>Table1[[#This Row],['# UTD with 
Partial Religious Exemption]]/Table1[[#This Row],['# of Students]]</f>
        <v>0</v>
      </c>
    </row>
    <row r="35" spans="1:10" x14ac:dyDescent="0.25">
      <c r="A35" t="s">
        <v>34</v>
      </c>
      <c r="B35">
        <v>219</v>
      </c>
      <c r="C35">
        <v>0</v>
      </c>
      <c r="D35" s="3">
        <f>Table1[[#This Row],['# with Full 
Medical Exemption]]/Table1[[#This Row],['# of Students]]</f>
        <v>0</v>
      </c>
      <c r="E35">
        <v>0</v>
      </c>
      <c r="F35" s="3">
        <f>Table1[[#This Row],['# UTD with 
Partial Medical Exemption]]/Table1[[#This Row],['# of Students]]</f>
        <v>0</v>
      </c>
      <c r="G35">
        <v>0</v>
      </c>
      <c r="H35" s="3">
        <f>Table1[[#This Row],['# with Full 
Religous Exemption]]/Table1[[#This Row],['# of Students]]</f>
        <v>0</v>
      </c>
      <c r="I35">
        <v>0</v>
      </c>
      <c r="J35" s="3">
        <f>Table1[[#This Row],['# UTD with 
Partial Religious Exemption]]/Table1[[#This Row],['# of Students]]</f>
        <v>0</v>
      </c>
    </row>
    <row r="36" spans="1:10" x14ac:dyDescent="0.25">
      <c r="A36" t="s">
        <v>35</v>
      </c>
      <c r="B36">
        <v>1330</v>
      </c>
      <c r="C36">
        <v>1</v>
      </c>
      <c r="D36" s="3">
        <f>Table1[[#This Row],['# with Full 
Medical Exemption]]/Table1[[#This Row],['# of Students]]</f>
        <v>7.5187969924812035E-4</v>
      </c>
      <c r="E36">
        <v>4</v>
      </c>
      <c r="F36" s="3">
        <f>Table1[[#This Row],['# UTD with 
Partial Medical Exemption]]/Table1[[#This Row],['# of Students]]</f>
        <v>3.0075187969924814E-3</v>
      </c>
      <c r="G36">
        <v>6</v>
      </c>
      <c r="H36" s="3">
        <f>Table1[[#This Row],['# with Full 
Religous Exemption]]/Table1[[#This Row],['# of Students]]</f>
        <v>4.5112781954887221E-3</v>
      </c>
      <c r="I36">
        <v>0</v>
      </c>
      <c r="J36" s="3">
        <f>Table1[[#This Row],['# UTD with 
Partial Religious Exemption]]/Table1[[#This Row],['# of Students]]</f>
        <v>0</v>
      </c>
    </row>
    <row r="37" spans="1:10" x14ac:dyDescent="0.25">
      <c r="A37" t="s">
        <v>36</v>
      </c>
      <c r="B37">
        <v>624</v>
      </c>
      <c r="C37">
        <v>0</v>
      </c>
      <c r="D37" s="3">
        <f>Table1[[#This Row],['# with Full 
Medical Exemption]]/Table1[[#This Row],['# of Students]]</f>
        <v>0</v>
      </c>
      <c r="E37">
        <v>1</v>
      </c>
      <c r="F37" s="3">
        <f>Table1[[#This Row],['# UTD with 
Partial Medical Exemption]]/Table1[[#This Row],['# of Students]]</f>
        <v>1.6025641025641025E-3</v>
      </c>
      <c r="G37">
        <v>9</v>
      </c>
      <c r="H37" s="3">
        <f>Table1[[#This Row],['# with Full 
Religous Exemption]]/Table1[[#This Row],['# of Students]]</f>
        <v>1.4423076923076924E-2</v>
      </c>
      <c r="I37">
        <v>0</v>
      </c>
      <c r="J37" s="3">
        <f>Table1[[#This Row],['# UTD with 
Partial Religious Exemption]]/Table1[[#This Row],['# of Students]]</f>
        <v>0</v>
      </c>
    </row>
    <row r="38" spans="1:10" x14ac:dyDescent="0.25">
      <c r="A38" t="s">
        <v>37</v>
      </c>
      <c r="B38">
        <v>7710</v>
      </c>
      <c r="C38">
        <v>0</v>
      </c>
      <c r="D38" s="3">
        <f>Table1[[#This Row],['# with Full 
Medical Exemption]]/Table1[[#This Row],['# of Students]]</f>
        <v>0</v>
      </c>
      <c r="E38">
        <v>4</v>
      </c>
      <c r="F38" s="3">
        <f>Table1[[#This Row],['# UTD with 
Partial Medical Exemption]]/Table1[[#This Row],['# of Students]]</f>
        <v>5.1880674448767834E-4</v>
      </c>
      <c r="G38">
        <v>43</v>
      </c>
      <c r="H38" s="3">
        <f>Table1[[#This Row],['# with Full 
Religous Exemption]]/Table1[[#This Row],['# of Students]]</f>
        <v>5.5771725032425423E-3</v>
      </c>
      <c r="I38">
        <v>0</v>
      </c>
      <c r="J38" s="3">
        <f>Table1[[#This Row],['# UTD with 
Partial Religious Exemption]]/Table1[[#This Row],['# of Students]]</f>
        <v>0</v>
      </c>
    </row>
    <row r="39" spans="1:10" x14ac:dyDescent="0.25">
      <c r="A39" t="s">
        <v>38</v>
      </c>
      <c r="B39">
        <v>248</v>
      </c>
      <c r="C39">
        <v>0</v>
      </c>
      <c r="D39" s="3">
        <f>Table1[[#This Row],['# with Full 
Medical Exemption]]/Table1[[#This Row],['# of Students]]</f>
        <v>0</v>
      </c>
      <c r="E39">
        <v>0</v>
      </c>
      <c r="F39" s="3">
        <f>Table1[[#This Row],['# UTD with 
Partial Medical Exemption]]/Table1[[#This Row],['# of Students]]</f>
        <v>0</v>
      </c>
      <c r="G39">
        <v>1</v>
      </c>
      <c r="H39" s="3">
        <f>Table1[[#This Row],['# with Full 
Religous Exemption]]/Table1[[#This Row],['# of Students]]</f>
        <v>4.0322580645161289E-3</v>
      </c>
      <c r="I39">
        <v>0</v>
      </c>
      <c r="J39" s="3">
        <f>Table1[[#This Row],['# UTD with 
Partial Religious Exemption]]/Table1[[#This Row],['# of Students]]</f>
        <v>0</v>
      </c>
    </row>
    <row r="40" spans="1:10" x14ac:dyDescent="0.25">
      <c r="A40" t="s">
        <v>39</v>
      </c>
      <c r="B40">
        <v>997</v>
      </c>
      <c r="C40">
        <v>1</v>
      </c>
      <c r="D40" s="3">
        <f>Table1[[#This Row],['# with Full 
Medical Exemption]]/Table1[[#This Row],['# of Students]]</f>
        <v>1.0030090270812437E-3</v>
      </c>
      <c r="E40">
        <v>1</v>
      </c>
      <c r="F40" s="3">
        <f>Table1[[#This Row],['# UTD with 
Partial Medical Exemption]]/Table1[[#This Row],['# of Students]]</f>
        <v>1.0030090270812437E-3</v>
      </c>
      <c r="G40">
        <v>15</v>
      </c>
      <c r="H40" s="3">
        <f>Table1[[#This Row],['# with Full 
Religous Exemption]]/Table1[[#This Row],['# of Students]]</f>
        <v>1.5045135406218655E-2</v>
      </c>
      <c r="I40">
        <v>0</v>
      </c>
      <c r="J40" s="3">
        <f>Table1[[#This Row],['# UTD with 
Partial Religious Exemption]]/Table1[[#This Row],['# of Students]]</f>
        <v>0</v>
      </c>
    </row>
    <row r="41" spans="1:10" x14ac:dyDescent="0.25">
      <c r="A41" t="s">
        <v>40</v>
      </c>
      <c r="B41">
        <v>278</v>
      </c>
      <c r="C41">
        <v>1</v>
      </c>
      <c r="D41" s="3">
        <f>Table1[[#This Row],['# with Full 
Medical Exemption]]/Table1[[#This Row],['# of Students]]</f>
        <v>3.5971223021582736E-3</v>
      </c>
      <c r="E41">
        <v>1</v>
      </c>
      <c r="F41" s="3">
        <f>Table1[[#This Row],['# UTD with 
Partial Medical Exemption]]/Table1[[#This Row],['# of Students]]</f>
        <v>3.5971223021582736E-3</v>
      </c>
      <c r="G41">
        <v>2</v>
      </c>
      <c r="H41" s="3">
        <f>Table1[[#This Row],['# with Full 
Religous Exemption]]/Table1[[#This Row],['# of Students]]</f>
        <v>7.1942446043165471E-3</v>
      </c>
      <c r="I41">
        <v>0</v>
      </c>
      <c r="J41" s="3">
        <f>Table1[[#This Row],['# UTD with 
Partial Religious Exemption]]/Table1[[#This Row],['# of Students]]</f>
        <v>0</v>
      </c>
    </row>
    <row r="42" spans="1:10" x14ac:dyDescent="0.25">
      <c r="A42" t="s">
        <v>41</v>
      </c>
      <c r="B42">
        <v>1983</v>
      </c>
      <c r="C42">
        <v>2</v>
      </c>
      <c r="D42" s="3">
        <f>Table1[[#This Row],['# with Full 
Medical Exemption]]/Table1[[#This Row],['# of Students]]</f>
        <v>1.0085728693898135E-3</v>
      </c>
      <c r="E42">
        <v>1</v>
      </c>
      <c r="F42" s="3">
        <f>Table1[[#This Row],['# UTD with 
Partial Medical Exemption]]/Table1[[#This Row],['# of Students]]</f>
        <v>5.0428643469490675E-4</v>
      </c>
      <c r="G42">
        <v>9</v>
      </c>
      <c r="H42" s="3">
        <f>Table1[[#This Row],['# with Full 
Religous Exemption]]/Table1[[#This Row],['# of Students]]</f>
        <v>4.5385779122541605E-3</v>
      </c>
      <c r="I42">
        <v>0</v>
      </c>
      <c r="J42" s="3">
        <f>Table1[[#This Row],['# UTD with 
Partial Religious Exemption]]/Table1[[#This Row],['# of Students]]</f>
        <v>0</v>
      </c>
    </row>
    <row r="43" spans="1:10" x14ac:dyDescent="0.25">
      <c r="A43" t="s">
        <v>42</v>
      </c>
      <c r="B43">
        <v>1034</v>
      </c>
      <c r="C43">
        <v>4</v>
      </c>
      <c r="D43" s="3">
        <f>Table1[[#This Row],['# with Full 
Medical Exemption]]/Table1[[#This Row],['# of Students]]</f>
        <v>3.8684719535783366E-3</v>
      </c>
      <c r="E43">
        <v>0</v>
      </c>
      <c r="F43" s="3">
        <f>Table1[[#This Row],['# UTD with 
Partial Medical Exemption]]/Table1[[#This Row],['# of Students]]</f>
        <v>0</v>
      </c>
      <c r="G43">
        <v>8</v>
      </c>
      <c r="H43" s="3">
        <f>Table1[[#This Row],['# with Full 
Religous Exemption]]/Table1[[#This Row],['# of Students]]</f>
        <v>7.7369439071566732E-3</v>
      </c>
      <c r="I43">
        <v>0</v>
      </c>
      <c r="J43" s="3">
        <f>Table1[[#This Row],['# UTD with 
Partial Religious Exemption]]/Table1[[#This Row],['# of Students]]</f>
        <v>0</v>
      </c>
    </row>
    <row r="44" spans="1:10" x14ac:dyDescent="0.25">
      <c r="A44" t="s">
        <v>43</v>
      </c>
      <c r="B44">
        <v>138</v>
      </c>
      <c r="C44">
        <v>0</v>
      </c>
      <c r="D44" s="3">
        <f>Table1[[#This Row],['# with Full 
Medical Exemption]]/Table1[[#This Row],['# of Students]]</f>
        <v>0</v>
      </c>
      <c r="E44">
        <v>0</v>
      </c>
      <c r="F44" s="3">
        <f>Table1[[#This Row],['# UTD with 
Partial Medical Exemption]]/Table1[[#This Row],['# of Students]]</f>
        <v>0</v>
      </c>
      <c r="G44">
        <v>0</v>
      </c>
      <c r="H44" s="3">
        <f>Table1[[#This Row],['# with Full 
Religous Exemption]]/Table1[[#This Row],['# of Students]]</f>
        <v>0</v>
      </c>
      <c r="I44">
        <v>0</v>
      </c>
      <c r="J44" s="3">
        <f>Table1[[#This Row],['# UTD with 
Partial Religious Exemption]]/Table1[[#This Row],['# of Students]]</f>
        <v>0</v>
      </c>
    </row>
    <row r="45" spans="1:10" x14ac:dyDescent="0.25">
      <c r="A45" t="s">
        <v>44</v>
      </c>
      <c r="B45">
        <v>181</v>
      </c>
      <c r="C45">
        <v>0</v>
      </c>
      <c r="D45" s="3">
        <f>Table1[[#This Row],['# with Full 
Medical Exemption]]/Table1[[#This Row],['# of Students]]</f>
        <v>0</v>
      </c>
      <c r="E45">
        <v>0</v>
      </c>
      <c r="F45" s="3">
        <f>Table1[[#This Row],['# UTD with 
Partial Medical Exemption]]/Table1[[#This Row],['# of Students]]</f>
        <v>0</v>
      </c>
      <c r="G45">
        <v>5</v>
      </c>
      <c r="H45" s="3">
        <f>Table1[[#This Row],['# with Full 
Religous Exemption]]/Table1[[#This Row],['# of Students]]</f>
        <v>2.7624309392265192E-2</v>
      </c>
      <c r="I45">
        <v>0</v>
      </c>
      <c r="J45" s="3">
        <f>Table1[[#This Row],['# UTD with 
Partial Religious Exemption]]/Table1[[#This Row],['# of Students]]</f>
        <v>0</v>
      </c>
    </row>
    <row r="46" spans="1:10" x14ac:dyDescent="0.25">
      <c r="A46" t="s">
        <v>45</v>
      </c>
      <c r="B46">
        <v>4377</v>
      </c>
      <c r="C46">
        <v>1</v>
      </c>
      <c r="D46" s="3">
        <f>Table1[[#This Row],['# with Full 
Medical Exemption]]/Table1[[#This Row],['# of Students]]</f>
        <v>2.284669865204478E-4</v>
      </c>
      <c r="E46">
        <v>2</v>
      </c>
      <c r="F46" s="3">
        <f>Table1[[#This Row],['# UTD with 
Partial Medical Exemption]]/Table1[[#This Row],['# of Students]]</f>
        <v>4.569339730408956E-4</v>
      </c>
      <c r="G46">
        <v>58</v>
      </c>
      <c r="H46" s="3">
        <f>Table1[[#This Row],['# with Full 
Religous Exemption]]/Table1[[#This Row],['# of Students]]</f>
        <v>1.3251085218185972E-2</v>
      </c>
      <c r="I46">
        <v>0</v>
      </c>
      <c r="J46" s="3">
        <f>Table1[[#This Row],['# UTD with 
Partial Religious Exemption]]/Table1[[#This Row],['# of Students]]</f>
        <v>0</v>
      </c>
    </row>
    <row r="47" spans="1:10" x14ac:dyDescent="0.25">
      <c r="A47" t="s">
        <v>46</v>
      </c>
      <c r="B47">
        <v>310</v>
      </c>
      <c r="C47">
        <v>0</v>
      </c>
      <c r="D47" s="3">
        <f>Table1[[#This Row],['# with Full 
Medical Exemption]]/Table1[[#This Row],['# of Students]]</f>
        <v>0</v>
      </c>
      <c r="E47">
        <v>0</v>
      </c>
      <c r="F47" s="3">
        <f>Table1[[#This Row],['# UTD with 
Partial Medical Exemption]]/Table1[[#This Row],['# of Students]]</f>
        <v>0</v>
      </c>
      <c r="G47">
        <v>1</v>
      </c>
      <c r="H47" s="3">
        <f>Table1[[#This Row],['# with Full 
Religous Exemption]]/Table1[[#This Row],['# of Students]]</f>
        <v>3.2258064516129032E-3</v>
      </c>
      <c r="I47">
        <v>0</v>
      </c>
      <c r="J47" s="3">
        <f>Table1[[#This Row],['# UTD with 
Partial Religious Exemption]]/Table1[[#This Row],['# of Students]]</f>
        <v>0</v>
      </c>
    </row>
    <row r="48" spans="1:10" x14ac:dyDescent="0.25">
      <c r="A48" t="s">
        <v>47</v>
      </c>
      <c r="B48">
        <v>360</v>
      </c>
      <c r="C48">
        <v>0</v>
      </c>
      <c r="D48" s="3">
        <f>Table1[[#This Row],['# with Full 
Medical Exemption]]/Table1[[#This Row],['# of Students]]</f>
        <v>0</v>
      </c>
      <c r="E48">
        <v>0</v>
      </c>
      <c r="F48" s="3">
        <f>Table1[[#This Row],['# UTD with 
Partial Medical Exemption]]/Table1[[#This Row],['# of Students]]</f>
        <v>0</v>
      </c>
      <c r="G48">
        <v>4</v>
      </c>
      <c r="H48" s="3">
        <f>Table1[[#This Row],['# with Full 
Religous Exemption]]/Table1[[#This Row],['# of Students]]</f>
        <v>1.1111111111111112E-2</v>
      </c>
      <c r="I48">
        <v>0</v>
      </c>
      <c r="J48" s="3">
        <f>Table1[[#This Row],['# UTD with 
Partial Religious Exemption]]/Table1[[#This Row],['# of Students]]</f>
        <v>0</v>
      </c>
    </row>
    <row r="49" spans="1:10" x14ac:dyDescent="0.25">
      <c r="A49" t="s">
        <v>48</v>
      </c>
      <c r="B49">
        <v>1455</v>
      </c>
      <c r="C49">
        <v>0</v>
      </c>
      <c r="D49" s="3">
        <f>Table1[[#This Row],['# with Full 
Medical Exemption]]/Table1[[#This Row],['# of Students]]</f>
        <v>0</v>
      </c>
      <c r="E49">
        <v>0</v>
      </c>
      <c r="F49" s="3">
        <f>Table1[[#This Row],['# UTD with 
Partial Medical Exemption]]/Table1[[#This Row],['# of Students]]</f>
        <v>0</v>
      </c>
      <c r="G49">
        <v>7</v>
      </c>
      <c r="H49" s="3">
        <f>Table1[[#This Row],['# with Full 
Religous Exemption]]/Table1[[#This Row],['# of Students]]</f>
        <v>4.8109965635738834E-3</v>
      </c>
      <c r="I49">
        <v>0</v>
      </c>
      <c r="J49" s="3">
        <f>Table1[[#This Row],['# UTD with 
Partial Religious Exemption]]/Table1[[#This Row],['# of Students]]</f>
        <v>0</v>
      </c>
    </row>
    <row r="50" spans="1:10" x14ac:dyDescent="0.25">
      <c r="A50" t="s">
        <v>49</v>
      </c>
      <c r="B50">
        <v>5233</v>
      </c>
      <c r="C50">
        <v>2</v>
      </c>
      <c r="D50" s="3">
        <f>Table1[[#This Row],['# with Full 
Medical Exemption]]/Table1[[#This Row],['# of Students]]</f>
        <v>3.8218994840435696E-4</v>
      </c>
      <c r="E50">
        <v>2</v>
      </c>
      <c r="F50" s="3">
        <f>Table1[[#This Row],['# UTD with 
Partial Medical Exemption]]/Table1[[#This Row],['# of Students]]</f>
        <v>3.8218994840435696E-4</v>
      </c>
      <c r="G50">
        <v>56</v>
      </c>
      <c r="H50" s="3">
        <f>Table1[[#This Row],['# with Full 
Religous Exemption]]/Table1[[#This Row],['# of Students]]</f>
        <v>1.0701318555321995E-2</v>
      </c>
      <c r="I50">
        <v>0</v>
      </c>
      <c r="J50" s="3">
        <f>Table1[[#This Row],['# UTD with 
Partial Religious Exemption]]/Table1[[#This Row],['# of Students]]</f>
        <v>0</v>
      </c>
    </row>
    <row r="51" spans="1:10" x14ac:dyDescent="0.25">
      <c r="A51" t="s">
        <v>50</v>
      </c>
      <c r="B51">
        <v>307</v>
      </c>
      <c r="C51">
        <v>0</v>
      </c>
      <c r="D51" s="3">
        <f>Table1[[#This Row],['# with Full 
Medical Exemption]]/Table1[[#This Row],['# of Students]]</f>
        <v>0</v>
      </c>
      <c r="E51">
        <v>1</v>
      </c>
      <c r="F51" s="3">
        <f>Table1[[#This Row],['# UTD with 
Partial Medical Exemption]]/Table1[[#This Row],['# of Students]]</f>
        <v>3.2573289902280132E-3</v>
      </c>
      <c r="G51">
        <v>3</v>
      </c>
      <c r="H51" s="3">
        <f>Table1[[#This Row],['# with Full 
Religous Exemption]]/Table1[[#This Row],['# of Students]]</f>
        <v>9.7719869706840382E-3</v>
      </c>
      <c r="I51">
        <v>0</v>
      </c>
      <c r="J51" s="3">
        <f>Table1[[#This Row],['# UTD with 
Partial Religious Exemption]]/Table1[[#This Row],['# of Students]]</f>
        <v>0</v>
      </c>
    </row>
    <row r="52" spans="1:10" x14ac:dyDescent="0.25">
      <c r="A52" t="s">
        <v>51</v>
      </c>
      <c r="B52">
        <v>2669</v>
      </c>
      <c r="C52">
        <v>1</v>
      </c>
      <c r="D52" s="3">
        <f>Table1[[#This Row],['# with Full 
Medical Exemption]]/Table1[[#This Row],['# of Students]]</f>
        <v>3.7467216185837392E-4</v>
      </c>
      <c r="E52">
        <v>1</v>
      </c>
      <c r="F52" s="3">
        <f>Table1[[#This Row],['# UTD with 
Partial Medical Exemption]]/Table1[[#This Row],['# of Students]]</f>
        <v>3.7467216185837392E-4</v>
      </c>
      <c r="G52">
        <v>10</v>
      </c>
      <c r="H52" s="3">
        <f>Table1[[#This Row],['# with Full 
Religous Exemption]]/Table1[[#This Row],['# of Students]]</f>
        <v>3.7467216185837391E-3</v>
      </c>
      <c r="I52">
        <v>0</v>
      </c>
      <c r="J52" s="3">
        <f>Table1[[#This Row],['# UTD with 
Partial Religious Exemption]]/Table1[[#This Row],['# of Students]]</f>
        <v>0</v>
      </c>
    </row>
    <row r="53" spans="1:10" x14ac:dyDescent="0.25">
      <c r="A53" t="s">
        <v>52</v>
      </c>
      <c r="B53">
        <v>1705</v>
      </c>
      <c r="C53">
        <v>0</v>
      </c>
      <c r="D53" s="3">
        <f>Table1[[#This Row],['# with Full 
Medical Exemption]]/Table1[[#This Row],['# of Students]]</f>
        <v>0</v>
      </c>
      <c r="E53">
        <v>0</v>
      </c>
      <c r="F53" s="3">
        <f>Table1[[#This Row],['# UTD with 
Partial Medical Exemption]]/Table1[[#This Row],['# of Students]]</f>
        <v>0</v>
      </c>
      <c r="G53">
        <v>8</v>
      </c>
      <c r="H53" s="3">
        <f>Table1[[#This Row],['# with Full 
Religous Exemption]]/Table1[[#This Row],['# of Students]]</f>
        <v>4.6920821114369501E-3</v>
      </c>
      <c r="I53">
        <v>0</v>
      </c>
      <c r="J53" s="3">
        <f>Table1[[#This Row],['# UTD with 
Partial Religious Exemption]]/Table1[[#This Row],['# of Students]]</f>
        <v>0</v>
      </c>
    </row>
    <row r="54" spans="1:10" x14ac:dyDescent="0.25">
      <c r="A54" t="s">
        <v>53</v>
      </c>
      <c r="B54">
        <v>100</v>
      </c>
      <c r="C54">
        <v>0</v>
      </c>
      <c r="D54" s="3">
        <f>Table1[[#This Row],['# with Full 
Medical Exemption]]/Table1[[#This Row],['# of Students]]</f>
        <v>0</v>
      </c>
      <c r="E54">
        <v>0</v>
      </c>
      <c r="F54" s="3">
        <f>Table1[[#This Row],['# UTD with 
Partial Medical Exemption]]/Table1[[#This Row],['# of Students]]</f>
        <v>0</v>
      </c>
      <c r="G54">
        <v>0</v>
      </c>
      <c r="H54" s="3">
        <f>Table1[[#This Row],['# with Full 
Religous Exemption]]/Table1[[#This Row],['# of Students]]</f>
        <v>0</v>
      </c>
      <c r="I54">
        <v>0</v>
      </c>
      <c r="J54" s="3">
        <f>Table1[[#This Row],['# UTD with 
Partial Religious Exemption]]/Table1[[#This Row],['# of Students]]</f>
        <v>0</v>
      </c>
    </row>
    <row r="55" spans="1:10" x14ac:dyDescent="0.25">
      <c r="A55" t="s">
        <v>54</v>
      </c>
      <c r="B55">
        <v>209</v>
      </c>
      <c r="C55">
        <v>0</v>
      </c>
      <c r="D55" s="3">
        <f>Table1[[#This Row],['# with Full 
Medical Exemption]]/Table1[[#This Row],['# of Students]]</f>
        <v>0</v>
      </c>
      <c r="E55">
        <v>0</v>
      </c>
      <c r="F55" s="3">
        <f>Table1[[#This Row],['# UTD with 
Partial Medical Exemption]]/Table1[[#This Row],['# of Students]]</f>
        <v>0</v>
      </c>
      <c r="G55">
        <v>2</v>
      </c>
      <c r="H55" s="3">
        <f>Table1[[#This Row],['# with Full 
Religous Exemption]]/Table1[[#This Row],['# of Students]]</f>
        <v>9.5693779904306216E-3</v>
      </c>
      <c r="I55">
        <v>0</v>
      </c>
      <c r="J55" s="3">
        <f>Table1[[#This Row],['# UTD with 
Partial Religious Exemption]]/Table1[[#This Row],['# of Students]]</f>
        <v>0</v>
      </c>
    </row>
    <row r="56" spans="1:10" x14ac:dyDescent="0.25">
      <c r="A56" t="s">
        <v>55</v>
      </c>
      <c r="B56">
        <v>315</v>
      </c>
      <c r="C56">
        <v>0</v>
      </c>
      <c r="D56" s="3">
        <f>Table1[[#This Row],['# with Full 
Medical Exemption]]/Table1[[#This Row],['# of Students]]</f>
        <v>0</v>
      </c>
      <c r="E56">
        <v>0</v>
      </c>
      <c r="F56" s="3">
        <f>Table1[[#This Row],['# UTD with 
Partial Medical Exemption]]/Table1[[#This Row],['# of Students]]</f>
        <v>0</v>
      </c>
      <c r="G56">
        <v>0</v>
      </c>
      <c r="H56" s="3">
        <f>Table1[[#This Row],['# with Full 
Religous Exemption]]/Table1[[#This Row],['# of Students]]</f>
        <v>0</v>
      </c>
      <c r="I56">
        <v>0</v>
      </c>
      <c r="J56" s="3">
        <f>Table1[[#This Row],['# UTD with 
Partial Religious Exemption]]/Table1[[#This Row],['# of Students]]</f>
        <v>0</v>
      </c>
    </row>
    <row r="57" spans="1:10" x14ac:dyDescent="0.25">
      <c r="A57" t="s">
        <v>56</v>
      </c>
      <c r="B57">
        <v>284</v>
      </c>
      <c r="C57">
        <v>0</v>
      </c>
      <c r="D57" s="3">
        <f>Table1[[#This Row],['# with Full 
Medical Exemption]]/Table1[[#This Row],['# of Students]]</f>
        <v>0</v>
      </c>
      <c r="E57">
        <v>0</v>
      </c>
      <c r="F57" s="3">
        <f>Table1[[#This Row],['# UTD with 
Partial Medical Exemption]]/Table1[[#This Row],['# of Students]]</f>
        <v>0</v>
      </c>
      <c r="G57">
        <v>2</v>
      </c>
      <c r="H57" s="3">
        <f>Table1[[#This Row],['# with Full 
Religous Exemption]]/Table1[[#This Row],['# of Students]]</f>
        <v>7.0422535211267607E-3</v>
      </c>
      <c r="I57">
        <v>0</v>
      </c>
      <c r="J57" s="3">
        <f>Table1[[#This Row],['# UTD with 
Partial Religious Exemption]]/Table1[[#This Row],['# of Students]]</f>
        <v>0</v>
      </c>
    </row>
    <row r="58" spans="1:10" x14ac:dyDescent="0.25">
      <c r="A58" t="s">
        <v>57</v>
      </c>
      <c r="B58">
        <v>940</v>
      </c>
      <c r="C58">
        <v>0</v>
      </c>
      <c r="D58" s="3">
        <f>Table1[[#This Row],['# with Full 
Medical Exemption]]/Table1[[#This Row],['# of Students]]</f>
        <v>0</v>
      </c>
      <c r="E58">
        <v>0</v>
      </c>
      <c r="F58" s="3">
        <f>Table1[[#This Row],['# UTD with 
Partial Medical Exemption]]/Table1[[#This Row],['# of Students]]</f>
        <v>0</v>
      </c>
      <c r="G58">
        <v>0</v>
      </c>
      <c r="H58" s="3">
        <f>Table1[[#This Row],['# with Full 
Religous Exemption]]/Table1[[#This Row],['# of Students]]</f>
        <v>0</v>
      </c>
      <c r="I58">
        <v>0</v>
      </c>
      <c r="J58" s="3">
        <f>Table1[[#This Row],['# UTD with 
Partial Religious Exemption]]/Table1[[#This Row],['# of Students]]</f>
        <v>0</v>
      </c>
    </row>
    <row r="59" spans="1:10" x14ac:dyDescent="0.25">
      <c r="A59" t="s">
        <v>58</v>
      </c>
      <c r="B59">
        <v>3518</v>
      </c>
      <c r="C59">
        <v>0</v>
      </c>
      <c r="D59" s="3">
        <f>Table1[[#This Row],['# with Full 
Medical Exemption]]/Table1[[#This Row],['# of Students]]</f>
        <v>0</v>
      </c>
      <c r="E59">
        <v>0</v>
      </c>
      <c r="F59" s="3">
        <f>Table1[[#This Row],['# UTD with 
Partial Medical Exemption]]/Table1[[#This Row],['# of Students]]</f>
        <v>0</v>
      </c>
      <c r="G59">
        <v>46</v>
      </c>
      <c r="H59" s="3">
        <f>Table1[[#This Row],['# with Full 
Religous Exemption]]/Table1[[#This Row],['# of Students]]</f>
        <v>1.3075611142694713E-2</v>
      </c>
      <c r="I59">
        <v>0</v>
      </c>
      <c r="J59" s="3">
        <f>Table1[[#This Row],['# UTD with 
Partial Religious Exemption]]/Table1[[#This Row],['# of Students]]</f>
        <v>0</v>
      </c>
    </row>
    <row r="60" spans="1:10" x14ac:dyDescent="0.25">
      <c r="A60" t="s">
        <v>59</v>
      </c>
      <c r="B60">
        <v>1090</v>
      </c>
      <c r="C60">
        <v>2</v>
      </c>
      <c r="D60" s="3">
        <f>Table1[[#This Row],['# with Full 
Medical Exemption]]/Table1[[#This Row],['# of Students]]</f>
        <v>1.834862385321101E-3</v>
      </c>
      <c r="E60">
        <v>0</v>
      </c>
      <c r="F60" s="3">
        <f>Table1[[#This Row],['# UTD with 
Partial Medical Exemption]]/Table1[[#This Row],['# of Students]]</f>
        <v>0</v>
      </c>
      <c r="G60">
        <v>11</v>
      </c>
      <c r="H60" s="3">
        <f>Table1[[#This Row],['# with Full 
Religous Exemption]]/Table1[[#This Row],['# of Students]]</f>
        <v>1.0091743119266056E-2</v>
      </c>
      <c r="I60">
        <v>0</v>
      </c>
      <c r="J60" s="3">
        <f>Table1[[#This Row],['# UTD with 
Partial Religious Exemption]]/Table1[[#This Row],['# of Students]]</f>
        <v>0</v>
      </c>
    </row>
    <row r="61" spans="1:10" x14ac:dyDescent="0.25">
      <c r="A61" t="s">
        <v>60</v>
      </c>
      <c r="B61">
        <v>106</v>
      </c>
      <c r="C61">
        <v>0</v>
      </c>
      <c r="D61" s="3">
        <f>Table1[[#This Row],['# with Full 
Medical Exemption]]/Table1[[#This Row],['# of Students]]</f>
        <v>0</v>
      </c>
      <c r="E61">
        <v>0</v>
      </c>
      <c r="F61" s="3">
        <f>Table1[[#This Row],['# UTD with 
Partial Medical Exemption]]/Table1[[#This Row],['# of Students]]</f>
        <v>0</v>
      </c>
      <c r="G61">
        <v>0</v>
      </c>
      <c r="H61" s="3">
        <f>Table1[[#This Row],['# with Full 
Religous Exemption]]/Table1[[#This Row],['# of Students]]</f>
        <v>0</v>
      </c>
      <c r="I61">
        <v>0</v>
      </c>
      <c r="J61" s="3">
        <f>Table1[[#This Row],['# UTD with 
Partial Religious Exemption]]/Table1[[#This Row],['# of Students]]</f>
        <v>0</v>
      </c>
    </row>
    <row r="62" spans="1:10" x14ac:dyDescent="0.25">
      <c r="A62" t="s">
        <v>61</v>
      </c>
      <c r="B62">
        <v>934</v>
      </c>
      <c r="C62">
        <v>1</v>
      </c>
      <c r="D62" s="3">
        <f>Table1[[#This Row],['# with Full 
Medical Exemption]]/Table1[[#This Row],['# of Students]]</f>
        <v>1.0706638115631692E-3</v>
      </c>
      <c r="E62">
        <v>0</v>
      </c>
      <c r="F62" s="3">
        <f>Table1[[#This Row],['# UTD with 
Partial Medical Exemption]]/Table1[[#This Row],['# of Students]]</f>
        <v>0</v>
      </c>
      <c r="G62">
        <v>5</v>
      </c>
      <c r="H62" s="3">
        <f>Table1[[#This Row],['# with Full 
Religous Exemption]]/Table1[[#This Row],['# of Students]]</f>
        <v>5.3533190578158455E-3</v>
      </c>
      <c r="I62">
        <v>1</v>
      </c>
      <c r="J62" s="3">
        <f>Table1[[#This Row],['# UTD with 
Partial Religious Exemption]]/Table1[[#This Row],['# of Students]]</f>
        <v>1.0706638115631692E-3</v>
      </c>
    </row>
    <row r="63" spans="1:10" x14ac:dyDescent="0.25">
      <c r="A63" t="s">
        <v>62</v>
      </c>
      <c r="B63">
        <v>473</v>
      </c>
      <c r="C63">
        <v>0</v>
      </c>
      <c r="D63" s="3">
        <f>Table1[[#This Row],['# with Full 
Medical Exemption]]/Table1[[#This Row],['# of Students]]</f>
        <v>0</v>
      </c>
      <c r="E63">
        <v>0</v>
      </c>
      <c r="F63" s="3">
        <f>Table1[[#This Row],['# UTD with 
Partial Medical Exemption]]/Table1[[#This Row],['# of Students]]</f>
        <v>0</v>
      </c>
      <c r="G63">
        <v>5</v>
      </c>
      <c r="H63" s="3">
        <f>Table1[[#This Row],['# with Full 
Religous Exemption]]/Table1[[#This Row],['# of Students]]</f>
        <v>1.0570824524312896E-2</v>
      </c>
      <c r="I63">
        <v>0</v>
      </c>
      <c r="J63" s="3">
        <f>Table1[[#This Row],['# UTD with 
Partial Religious Exemption]]/Table1[[#This Row],['# of Students]]</f>
        <v>0</v>
      </c>
    </row>
    <row r="64" spans="1:10" x14ac:dyDescent="0.25">
      <c r="A64" t="s">
        <v>63</v>
      </c>
      <c r="B64">
        <v>2451</v>
      </c>
      <c r="C64">
        <v>3</v>
      </c>
      <c r="D64" s="3">
        <f>Table1[[#This Row],['# with Full 
Medical Exemption]]/Table1[[#This Row],['# of Students]]</f>
        <v>1.2239902080783353E-3</v>
      </c>
      <c r="E64">
        <v>0</v>
      </c>
      <c r="F64" s="3">
        <f>Table1[[#This Row],['# UTD with 
Partial Medical Exemption]]/Table1[[#This Row],['# of Students]]</f>
        <v>0</v>
      </c>
      <c r="G64">
        <v>9</v>
      </c>
      <c r="H64" s="3">
        <f>Table1[[#This Row],['# with Full 
Religous Exemption]]/Table1[[#This Row],['# of Students]]</f>
        <v>3.6719706242350062E-3</v>
      </c>
      <c r="I64">
        <v>0</v>
      </c>
      <c r="J64" s="3">
        <f>Table1[[#This Row],['# UTD with 
Partial Religious Exemption]]/Table1[[#This Row],['# of Students]]</f>
        <v>0</v>
      </c>
    </row>
    <row r="65" spans="1:10" x14ac:dyDescent="0.25">
      <c r="A65" t="s">
        <v>64</v>
      </c>
      <c r="B65">
        <v>736</v>
      </c>
      <c r="C65">
        <v>1</v>
      </c>
      <c r="D65" s="3">
        <f>Table1[[#This Row],['# with Full 
Medical Exemption]]/Table1[[#This Row],['# of Students]]</f>
        <v>1.358695652173913E-3</v>
      </c>
      <c r="E65">
        <v>0</v>
      </c>
      <c r="F65" s="3">
        <f>Table1[[#This Row],['# UTD with 
Partial Medical Exemption]]/Table1[[#This Row],['# of Students]]</f>
        <v>0</v>
      </c>
      <c r="G65">
        <v>2</v>
      </c>
      <c r="H65" s="3">
        <f>Table1[[#This Row],['# with Full 
Religous Exemption]]/Table1[[#This Row],['# of Students]]</f>
        <v>2.717391304347826E-3</v>
      </c>
      <c r="I65">
        <v>0</v>
      </c>
      <c r="J65" s="3">
        <f>Table1[[#This Row],['# UTD with 
Partial Religious Exemption]]/Table1[[#This Row],['# of Students]]</f>
        <v>0</v>
      </c>
    </row>
    <row r="66" spans="1:10" x14ac:dyDescent="0.25">
      <c r="A66" t="s">
        <v>65</v>
      </c>
      <c r="B66">
        <v>204</v>
      </c>
      <c r="C66">
        <v>0</v>
      </c>
      <c r="D66" s="3">
        <f>Table1[[#This Row],['# with Full 
Medical Exemption]]/Table1[[#This Row],['# of Students]]</f>
        <v>0</v>
      </c>
      <c r="E66">
        <v>0</v>
      </c>
      <c r="F66" s="3">
        <f>Table1[[#This Row],['# UTD with 
Partial Medical Exemption]]/Table1[[#This Row],['# of Students]]</f>
        <v>0</v>
      </c>
      <c r="G66">
        <v>0</v>
      </c>
      <c r="H66" s="3">
        <f>Table1[[#This Row],['# with Full 
Religous Exemption]]/Table1[[#This Row],['# of Students]]</f>
        <v>0</v>
      </c>
      <c r="I66">
        <v>0</v>
      </c>
      <c r="J66" s="3">
        <f>Table1[[#This Row],['# UTD with 
Partial Religious Exemption]]/Table1[[#This Row],['# of Students]]</f>
        <v>0</v>
      </c>
    </row>
    <row r="67" spans="1:10" x14ac:dyDescent="0.25">
      <c r="A67" t="s">
        <v>66</v>
      </c>
      <c r="B67">
        <v>136</v>
      </c>
      <c r="C67">
        <v>0</v>
      </c>
      <c r="D67" s="3">
        <f>Table1[[#This Row],['# with Full 
Medical Exemption]]/Table1[[#This Row],['# of Students]]</f>
        <v>0</v>
      </c>
      <c r="E67">
        <v>0</v>
      </c>
      <c r="F67" s="3">
        <f>Table1[[#This Row],['# UTD with 
Partial Medical Exemption]]/Table1[[#This Row],['# of Students]]</f>
        <v>0</v>
      </c>
      <c r="G67">
        <v>0</v>
      </c>
      <c r="H67" s="3">
        <f>Table1[[#This Row],['# with Full 
Religous Exemption]]/Table1[[#This Row],['# of Students]]</f>
        <v>0</v>
      </c>
      <c r="I67">
        <v>0</v>
      </c>
      <c r="J67" s="3">
        <f>Table1[[#This Row],['# UTD with 
Partial Religious Exemption]]/Table1[[#This Row],['# of Students]]</f>
        <v>0</v>
      </c>
    </row>
    <row r="68" spans="1:10" x14ac:dyDescent="0.25">
      <c r="A68" t="s">
        <v>67</v>
      </c>
      <c r="B68">
        <v>299</v>
      </c>
      <c r="C68">
        <v>0</v>
      </c>
      <c r="D68" s="3">
        <f>Table1[[#This Row],['# with Full 
Medical Exemption]]/Table1[[#This Row],['# of Students]]</f>
        <v>0</v>
      </c>
      <c r="E68">
        <v>0</v>
      </c>
      <c r="F68" s="3">
        <f>Table1[[#This Row],['# UTD with 
Partial Medical Exemption]]/Table1[[#This Row],['# of Students]]</f>
        <v>0</v>
      </c>
      <c r="G68">
        <v>6</v>
      </c>
      <c r="H68" s="3">
        <f>Table1[[#This Row],['# with Full 
Religous Exemption]]/Table1[[#This Row],['# of Students]]</f>
        <v>2.0066889632107024E-2</v>
      </c>
      <c r="I68">
        <v>0</v>
      </c>
      <c r="J68" s="3">
        <f>Table1[[#This Row],['# UTD with 
Partial Religious Exemption]]/Table1[[#This Row],['# of Students]]</f>
        <v>0</v>
      </c>
    </row>
    <row r="69" spans="1:10" x14ac:dyDescent="0.25">
      <c r="B69">
        <f>SUBTOTAL(109,Table1['# of Students])</f>
        <v>60997</v>
      </c>
      <c r="C69">
        <f t="shared" ref="B69:C69" si="0">SUBTOTAL(109,C2:C68)</f>
        <v>26</v>
      </c>
      <c r="D69" s="3">
        <f>Table1[[#Totals],['# with Full 
Medical Exemption]]/Table1[[#Totals],['# of Students]]</f>
        <v>4.262504713346558E-4</v>
      </c>
      <c r="E69">
        <f>SUBTOTAL(109,Table1['# UTD with 
Partial Medical Exemption])</f>
        <v>35</v>
      </c>
      <c r="F69" s="3">
        <f>Table1[[#Totals],['# UTD with 
Partial Medical Exemption]]/Table1[[#Totals],['# of Students]]</f>
        <v>5.7379871141203663E-4</v>
      </c>
      <c r="G69">
        <f>SUBTOTAL(109,Table1['# with Full 
Religous Exemption])</f>
        <v>479</v>
      </c>
      <c r="H69" s="3">
        <f>Table1[[#Totals],['# with Full 
Religous Exemption]]/Table1[[#Totals],['# of Students]]</f>
        <v>7.8528452218961584E-3</v>
      </c>
      <c r="I69">
        <f>SUBTOTAL(109,Table1['# UTD with 
Partial Religious Exemption])</f>
        <v>2</v>
      </c>
      <c r="J69" s="3">
        <f>Table1[[#Totals],['# UTD with 
Partial Religious Exemption]]/Table1[[#Totals],['# of Students]]</f>
        <v>3.2788497794973521E-5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196A-6B4C-4E3B-A86D-DA0D23A40484}">
  <dimension ref="A1:J69"/>
  <sheetViews>
    <sheetView workbookViewId="0">
      <selection activeCell="B69" sqref="B69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20.7109375" bestFit="1" customWidth="1"/>
    <col min="4" max="4" width="20.7109375" style="3" bestFit="1" customWidth="1"/>
    <col min="5" max="5" width="27" bestFit="1" customWidth="1"/>
    <col min="6" max="6" width="25.85546875" style="3" bestFit="1" customWidth="1"/>
    <col min="7" max="7" width="21.140625" bestFit="1" customWidth="1"/>
    <col min="8" max="8" width="21.140625" style="3" bestFit="1" customWidth="1"/>
    <col min="9" max="9" width="28.140625" bestFit="1" customWidth="1"/>
    <col min="10" max="10" width="28.140625" style="3" bestFit="1" customWidth="1"/>
  </cols>
  <sheetData>
    <row r="1" spans="1:10" ht="30" x14ac:dyDescent="0.25">
      <c r="A1" t="s">
        <v>0</v>
      </c>
      <c r="B1" t="s">
        <v>68</v>
      </c>
      <c r="C1" s="1" t="s">
        <v>69</v>
      </c>
      <c r="D1" s="2" t="s">
        <v>70</v>
      </c>
      <c r="E1" s="1" t="s">
        <v>71</v>
      </c>
      <c r="F1" s="2" t="s">
        <v>72</v>
      </c>
      <c r="G1" s="1" t="s">
        <v>73</v>
      </c>
      <c r="H1" s="2" t="s">
        <v>74</v>
      </c>
      <c r="I1" s="1" t="s">
        <v>75</v>
      </c>
      <c r="J1" s="2" t="s">
        <v>76</v>
      </c>
    </row>
    <row r="2" spans="1:10" x14ac:dyDescent="0.25">
      <c r="A2" t="s">
        <v>1</v>
      </c>
      <c r="B2">
        <v>795</v>
      </c>
      <c r="C2">
        <v>0</v>
      </c>
      <c r="D2" s="3">
        <f>Table2[[#This Row],['# with Full 
Medical Exemption]]/Table2[[#This Row],['# of Students]]</f>
        <v>0</v>
      </c>
      <c r="E2">
        <v>0</v>
      </c>
      <c r="F2" s="3">
        <f>Table2[[#This Row],['# UTD with 
Partial Medical Exemption]]/Table2[[#This Row],['# of Students]]</f>
        <v>0</v>
      </c>
      <c r="G2">
        <v>4</v>
      </c>
      <c r="H2" s="3">
        <f>Table2[[#This Row],['# with Full 
Religous Exemption]]/Table2[[#This Row],['# of Students]]</f>
        <v>5.0314465408805029E-3</v>
      </c>
      <c r="I2">
        <v>0</v>
      </c>
      <c r="J2" s="3">
        <f>Table2[[#This Row],['# UTD with 
Partial Religious Exemption]]/Table2[[#This Row],['# of Students]]</f>
        <v>0</v>
      </c>
    </row>
    <row r="3" spans="1:10" x14ac:dyDescent="0.25">
      <c r="A3" t="s">
        <v>2</v>
      </c>
      <c r="B3">
        <v>3018</v>
      </c>
      <c r="C3">
        <v>3</v>
      </c>
      <c r="D3" s="3">
        <f>Table2[[#This Row],['# with Full 
Medical Exemption]]/Table2[[#This Row],['# of Students]]</f>
        <v>9.9403578528827028E-4</v>
      </c>
      <c r="E3">
        <v>5</v>
      </c>
      <c r="F3" s="3">
        <f>Table2[[#This Row],['# UTD with 
Partial Medical Exemption]]/Table2[[#This Row],['# of Students]]</f>
        <v>1.6567263088137839E-3</v>
      </c>
      <c r="G3">
        <v>71</v>
      </c>
      <c r="H3" s="3">
        <f>Table2[[#This Row],['# with Full 
Religous Exemption]]/Table2[[#This Row],['# of Students]]</f>
        <v>2.3525513585155731E-2</v>
      </c>
      <c r="I3">
        <v>0</v>
      </c>
      <c r="J3" s="3">
        <f>Table2[[#This Row],['# UTD with 
Partial Religious Exemption]]/Table2[[#This Row],['# of Students]]</f>
        <v>0</v>
      </c>
    </row>
    <row r="4" spans="1:10" x14ac:dyDescent="0.25">
      <c r="A4" t="s">
        <v>3</v>
      </c>
      <c r="B4">
        <v>664</v>
      </c>
      <c r="C4">
        <v>1</v>
      </c>
      <c r="D4" s="3">
        <f>Table2[[#This Row],['# with Full 
Medical Exemption]]/Table2[[#This Row],['# of Students]]</f>
        <v>1.5060240963855422E-3</v>
      </c>
      <c r="E4">
        <v>0</v>
      </c>
      <c r="F4" s="3">
        <f>Table2[[#This Row],['# UTD with 
Partial Medical Exemption]]/Table2[[#This Row],['# of Students]]</f>
        <v>0</v>
      </c>
      <c r="G4">
        <v>17</v>
      </c>
      <c r="H4" s="3">
        <f>Table2[[#This Row],['# with Full 
Religous Exemption]]/Table2[[#This Row],['# of Students]]</f>
        <v>2.5602409638554216E-2</v>
      </c>
      <c r="I4">
        <v>0</v>
      </c>
      <c r="J4" s="3">
        <f>Table2[[#This Row],['# UTD with 
Partial Religious Exemption]]/Table2[[#This Row],['# of Students]]</f>
        <v>0</v>
      </c>
    </row>
    <row r="5" spans="1:10" x14ac:dyDescent="0.25">
      <c r="A5" t="s">
        <v>4</v>
      </c>
      <c r="B5">
        <v>222</v>
      </c>
      <c r="C5">
        <v>0</v>
      </c>
      <c r="D5" s="3">
        <f>Table2[[#This Row],['# with Full 
Medical Exemption]]/Table2[[#This Row],['# of Students]]</f>
        <v>0</v>
      </c>
      <c r="E5">
        <v>0</v>
      </c>
      <c r="F5" s="3">
        <f>Table2[[#This Row],['# UTD with 
Partial Medical Exemption]]/Table2[[#This Row],['# of Students]]</f>
        <v>0</v>
      </c>
      <c r="G5">
        <v>2</v>
      </c>
      <c r="H5" s="3">
        <f>Table2[[#This Row],['# with Full 
Religous Exemption]]/Table2[[#This Row],['# of Students]]</f>
        <v>9.0090090090090089E-3</v>
      </c>
      <c r="I5">
        <v>0</v>
      </c>
      <c r="J5" s="3">
        <f>Table2[[#This Row],['# UTD with 
Partial Religious Exemption]]/Table2[[#This Row],['# of Students]]</f>
        <v>0</v>
      </c>
    </row>
    <row r="6" spans="1:10" x14ac:dyDescent="0.25">
      <c r="A6" t="s">
        <v>5</v>
      </c>
      <c r="B6">
        <v>702</v>
      </c>
      <c r="C6">
        <v>1</v>
      </c>
      <c r="D6" s="3">
        <f>Table2[[#This Row],['# with Full 
Medical Exemption]]/Table2[[#This Row],['# of Students]]</f>
        <v>1.4245014245014246E-3</v>
      </c>
      <c r="E6">
        <v>3</v>
      </c>
      <c r="F6" s="3">
        <f>Table2[[#This Row],['# UTD with 
Partial Medical Exemption]]/Table2[[#This Row],['# of Students]]</f>
        <v>4.2735042735042739E-3</v>
      </c>
      <c r="G6">
        <v>6</v>
      </c>
      <c r="H6" s="3">
        <f>Table2[[#This Row],['# with Full 
Religous Exemption]]/Table2[[#This Row],['# of Students]]</f>
        <v>8.5470085470085479E-3</v>
      </c>
      <c r="I6">
        <v>0</v>
      </c>
      <c r="J6" s="3">
        <f>Table2[[#This Row],['# UTD with 
Partial Religious Exemption]]/Table2[[#This Row],['# of Students]]</f>
        <v>0</v>
      </c>
    </row>
    <row r="7" spans="1:10" x14ac:dyDescent="0.25">
      <c r="A7" t="s">
        <v>6</v>
      </c>
      <c r="B7">
        <v>134</v>
      </c>
      <c r="C7">
        <v>0</v>
      </c>
      <c r="D7" s="3">
        <f>Table2[[#This Row],['# with Full 
Medical Exemption]]/Table2[[#This Row],['# of Students]]</f>
        <v>0</v>
      </c>
      <c r="E7">
        <v>0</v>
      </c>
      <c r="F7" s="3">
        <f>Table2[[#This Row],['# UTD with 
Partial Medical Exemption]]/Table2[[#This Row],['# of Students]]</f>
        <v>0</v>
      </c>
      <c r="G7">
        <v>0</v>
      </c>
      <c r="H7" s="3">
        <f>Table2[[#This Row],['# with Full 
Religous Exemption]]/Table2[[#This Row],['# of Students]]</f>
        <v>0</v>
      </c>
      <c r="I7">
        <v>0</v>
      </c>
      <c r="J7" s="3">
        <f>Table2[[#This Row],['# UTD with 
Partial Religious Exemption]]/Table2[[#This Row],['# of Students]]</f>
        <v>0</v>
      </c>
    </row>
    <row r="8" spans="1:10" x14ac:dyDescent="0.25">
      <c r="A8" t="s">
        <v>7</v>
      </c>
      <c r="B8">
        <v>244</v>
      </c>
      <c r="C8">
        <v>0</v>
      </c>
      <c r="D8" s="3">
        <f>Table2[[#This Row],['# with Full 
Medical Exemption]]/Table2[[#This Row],['# of Students]]</f>
        <v>0</v>
      </c>
      <c r="E8">
        <v>0</v>
      </c>
      <c r="F8" s="3">
        <f>Table2[[#This Row],['# UTD with 
Partial Medical Exemption]]/Table2[[#This Row],['# of Students]]</f>
        <v>0</v>
      </c>
      <c r="G8">
        <v>1</v>
      </c>
      <c r="H8" s="3">
        <f>Table2[[#This Row],['# with Full 
Religous Exemption]]/Table2[[#This Row],['# of Students]]</f>
        <v>4.0983606557377051E-3</v>
      </c>
      <c r="I8">
        <v>0</v>
      </c>
      <c r="J8" s="3">
        <f>Table2[[#This Row],['# UTD with 
Partial Religious Exemption]]/Table2[[#This Row],['# of Students]]</f>
        <v>0</v>
      </c>
    </row>
    <row r="9" spans="1:10" x14ac:dyDescent="0.25">
      <c r="A9" t="s">
        <v>8</v>
      </c>
      <c r="B9">
        <v>1411</v>
      </c>
      <c r="C9">
        <v>0</v>
      </c>
      <c r="D9" s="3">
        <f>Table2[[#This Row],['# with Full 
Medical Exemption]]/Table2[[#This Row],['# of Students]]</f>
        <v>0</v>
      </c>
      <c r="E9">
        <v>1</v>
      </c>
      <c r="F9" s="3">
        <f>Table2[[#This Row],['# UTD with 
Partial Medical Exemption]]/Table2[[#This Row],['# of Students]]</f>
        <v>7.0871722182849046E-4</v>
      </c>
      <c r="G9">
        <v>11</v>
      </c>
      <c r="H9" s="3">
        <f>Table2[[#This Row],['# with Full 
Religous Exemption]]/Table2[[#This Row],['# of Students]]</f>
        <v>7.7958894401133948E-3</v>
      </c>
      <c r="I9">
        <v>1</v>
      </c>
      <c r="J9" s="3">
        <f>Table2[[#This Row],['# UTD with 
Partial Religious Exemption]]/Table2[[#This Row],['# of Students]]</f>
        <v>7.0871722182849046E-4</v>
      </c>
    </row>
    <row r="10" spans="1:10" x14ac:dyDescent="0.25">
      <c r="A10" t="s">
        <v>9</v>
      </c>
      <c r="B10">
        <v>379</v>
      </c>
      <c r="C10">
        <v>0</v>
      </c>
      <c r="D10" s="3">
        <f>Table2[[#This Row],['# with Full 
Medical Exemption]]/Table2[[#This Row],['# of Students]]</f>
        <v>0</v>
      </c>
      <c r="E10">
        <v>0</v>
      </c>
      <c r="F10" s="3">
        <f>Table2[[#This Row],['# UTD with 
Partial Medical Exemption]]/Table2[[#This Row],['# of Students]]</f>
        <v>0</v>
      </c>
      <c r="G10">
        <v>0</v>
      </c>
      <c r="H10" s="3">
        <f>Table2[[#This Row],['# with Full 
Religous Exemption]]/Table2[[#This Row],['# of Students]]</f>
        <v>0</v>
      </c>
      <c r="I10">
        <v>0</v>
      </c>
      <c r="J10" s="3">
        <f>Table2[[#This Row],['# UTD with 
Partial Religious Exemption]]/Table2[[#This Row],['# of Students]]</f>
        <v>0</v>
      </c>
    </row>
    <row r="11" spans="1:10" x14ac:dyDescent="0.25">
      <c r="A11" t="s">
        <v>10</v>
      </c>
      <c r="B11">
        <v>348</v>
      </c>
      <c r="C11">
        <v>0</v>
      </c>
      <c r="D11" s="3">
        <f>Table2[[#This Row],['# with Full 
Medical Exemption]]/Table2[[#This Row],['# of Students]]</f>
        <v>0</v>
      </c>
      <c r="E11">
        <v>1</v>
      </c>
      <c r="F11" s="3">
        <f>Table2[[#This Row],['# UTD with 
Partial Medical Exemption]]/Table2[[#This Row],['# of Students]]</f>
        <v>2.8735632183908046E-3</v>
      </c>
      <c r="G11">
        <v>3</v>
      </c>
      <c r="H11" s="3">
        <f>Table2[[#This Row],['# with Full 
Religous Exemption]]/Table2[[#This Row],['# of Students]]</f>
        <v>8.6206896551724137E-3</v>
      </c>
      <c r="I11">
        <v>0</v>
      </c>
      <c r="J11" s="3">
        <f>Table2[[#This Row],['# UTD with 
Partial Religious Exemption]]/Table2[[#This Row],['# of Students]]</f>
        <v>0</v>
      </c>
    </row>
    <row r="12" spans="1:10" x14ac:dyDescent="0.25">
      <c r="A12" t="s">
        <v>11</v>
      </c>
      <c r="B12">
        <v>677</v>
      </c>
      <c r="C12">
        <v>1</v>
      </c>
      <c r="D12" s="3">
        <f>Table2[[#This Row],['# with Full 
Medical Exemption]]/Table2[[#This Row],['# of Students]]</f>
        <v>1.4771048744460858E-3</v>
      </c>
      <c r="E12">
        <v>0</v>
      </c>
      <c r="F12" s="3">
        <f>Table2[[#This Row],['# UTD with 
Partial Medical Exemption]]/Table2[[#This Row],['# of Students]]</f>
        <v>0</v>
      </c>
      <c r="G12">
        <v>0</v>
      </c>
      <c r="H12" s="3">
        <f>Table2[[#This Row],['# with Full 
Religous Exemption]]/Table2[[#This Row],['# of Students]]</f>
        <v>0</v>
      </c>
      <c r="I12">
        <v>0</v>
      </c>
      <c r="J12" s="3">
        <f>Table2[[#This Row],['# UTD with 
Partial Religious Exemption]]/Table2[[#This Row],['# of Students]]</f>
        <v>0</v>
      </c>
    </row>
    <row r="13" spans="1:10" x14ac:dyDescent="0.25">
      <c r="A13" t="s">
        <v>12</v>
      </c>
      <c r="B13">
        <v>128</v>
      </c>
      <c r="C13">
        <v>0</v>
      </c>
      <c r="D13" s="3">
        <f>Table2[[#This Row],['# with Full 
Medical Exemption]]/Table2[[#This Row],['# of Students]]</f>
        <v>0</v>
      </c>
      <c r="E13">
        <v>0</v>
      </c>
      <c r="F13" s="3">
        <f>Table2[[#This Row],['# UTD with 
Partial Medical Exemption]]/Table2[[#This Row],['# of Students]]</f>
        <v>0</v>
      </c>
      <c r="G13">
        <v>1</v>
      </c>
      <c r="H13" s="3">
        <f>Table2[[#This Row],['# with Full 
Religous Exemption]]/Table2[[#This Row],['# of Students]]</f>
        <v>7.8125E-3</v>
      </c>
      <c r="I13">
        <v>0</v>
      </c>
      <c r="J13" s="3">
        <f>Table2[[#This Row],['# UTD with 
Partial Religious Exemption]]/Table2[[#This Row],['# of Students]]</f>
        <v>0</v>
      </c>
    </row>
    <row r="14" spans="1:10" x14ac:dyDescent="0.25">
      <c r="A14" t="s">
        <v>13</v>
      </c>
      <c r="B14">
        <v>277</v>
      </c>
      <c r="C14">
        <v>0</v>
      </c>
      <c r="D14" s="3">
        <f>Table2[[#This Row],['# with Full 
Medical Exemption]]/Table2[[#This Row],['# of Students]]</f>
        <v>0</v>
      </c>
      <c r="E14">
        <v>0</v>
      </c>
      <c r="F14" s="3">
        <f>Table2[[#This Row],['# UTD with 
Partial Medical Exemption]]/Table2[[#This Row],['# of Students]]</f>
        <v>0</v>
      </c>
      <c r="G14">
        <v>1</v>
      </c>
      <c r="H14" s="3">
        <f>Table2[[#This Row],['# with Full 
Religous Exemption]]/Table2[[#This Row],['# of Students]]</f>
        <v>3.6101083032490976E-3</v>
      </c>
      <c r="I14">
        <v>0</v>
      </c>
      <c r="J14" s="3">
        <f>Table2[[#This Row],['# UTD with 
Partial Religious Exemption]]/Table2[[#This Row],['# of Students]]</f>
        <v>0</v>
      </c>
    </row>
    <row r="15" spans="1:10" x14ac:dyDescent="0.25">
      <c r="A15" t="s">
        <v>14</v>
      </c>
      <c r="B15">
        <v>169</v>
      </c>
      <c r="C15">
        <v>0</v>
      </c>
      <c r="D15" s="3">
        <f>Table2[[#This Row],['# with Full 
Medical Exemption]]/Table2[[#This Row],['# of Students]]</f>
        <v>0</v>
      </c>
      <c r="E15">
        <v>0</v>
      </c>
      <c r="F15" s="3">
        <f>Table2[[#This Row],['# UTD with 
Partial Medical Exemption]]/Table2[[#This Row],['# of Students]]</f>
        <v>0</v>
      </c>
      <c r="G15">
        <v>4</v>
      </c>
      <c r="H15" s="3">
        <f>Table2[[#This Row],['# with Full 
Religous Exemption]]/Table2[[#This Row],['# of Students]]</f>
        <v>2.3668639053254437E-2</v>
      </c>
      <c r="I15">
        <v>0</v>
      </c>
      <c r="J15" s="3">
        <f>Table2[[#This Row],['# UTD with 
Partial Religious Exemption]]/Table2[[#This Row],['# of Students]]</f>
        <v>0</v>
      </c>
    </row>
    <row r="16" spans="1:10" x14ac:dyDescent="0.25">
      <c r="A16" t="s">
        <v>15</v>
      </c>
      <c r="B16">
        <v>199</v>
      </c>
      <c r="C16">
        <v>0</v>
      </c>
      <c r="D16" s="3">
        <f>Table2[[#This Row],['# with Full 
Medical Exemption]]/Table2[[#This Row],['# of Students]]</f>
        <v>0</v>
      </c>
      <c r="E16">
        <v>0</v>
      </c>
      <c r="F16" s="3">
        <f>Table2[[#This Row],['# UTD with 
Partial Medical Exemption]]/Table2[[#This Row],['# of Students]]</f>
        <v>0</v>
      </c>
      <c r="G16">
        <v>3</v>
      </c>
      <c r="H16" s="3">
        <f>Table2[[#This Row],['# with Full 
Religous Exemption]]/Table2[[#This Row],['# of Students]]</f>
        <v>1.507537688442211E-2</v>
      </c>
      <c r="I16">
        <v>0</v>
      </c>
      <c r="J16" s="3">
        <f>Table2[[#This Row],['# UTD with 
Partial Religious Exemption]]/Table2[[#This Row],['# of Students]]</f>
        <v>0</v>
      </c>
    </row>
    <row r="17" spans="1:10" x14ac:dyDescent="0.25">
      <c r="A17" t="s">
        <v>16</v>
      </c>
      <c r="B17">
        <v>849</v>
      </c>
      <c r="C17">
        <v>1</v>
      </c>
      <c r="D17" s="3">
        <f>Table2[[#This Row],['# with Full 
Medical Exemption]]/Table2[[#This Row],['# of Students]]</f>
        <v>1.1778563015312131E-3</v>
      </c>
      <c r="E17">
        <v>0</v>
      </c>
      <c r="F17" s="3">
        <f>Table2[[#This Row],['# UTD with 
Partial Medical Exemption]]/Table2[[#This Row],['# of Students]]</f>
        <v>0</v>
      </c>
      <c r="G17">
        <v>8</v>
      </c>
      <c r="H17" s="3">
        <f>Table2[[#This Row],['# with Full 
Religous Exemption]]/Table2[[#This Row],['# of Students]]</f>
        <v>9.4228504122497048E-3</v>
      </c>
      <c r="I17">
        <v>0</v>
      </c>
      <c r="J17" s="3">
        <f>Table2[[#This Row],['# UTD with 
Partial Religious Exemption]]/Table2[[#This Row],['# of Students]]</f>
        <v>0</v>
      </c>
    </row>
    <row r="18" spans="1:10" x14ac:dyDescent="0.25">
      <c r="A18" t="s">
        <v>17</v>
      </c>
      <c r="B18">
        <v>667</v>
      </c>
      <c r="C18">
        <v>0</v>
      </c>
      <c r="D18" s="3">
        <f>Table2[[#This Row],['# with Full 
Medical Exemption]]/Table2[[#This Row],['# of Students]]</f>
        <v>0</v>
      </c>
      <c r="E18">
        <v>0</v>
      </c>
      <c r="F18" s="3">
        <f>Table2[[#This Row],['# UTD with 
Partial Medical Exemption]]/Table2[[#This Row],['# of Students]]</f>
        <v>0</v>
      </c>
      <c r="G18">
        <v>4</v>
      </c>
      <c r="H18" s="3">
        <f>Table2[[#This Row],['# with Full 
Religous Exemption]]/Table2[[#This Row],['# of Students]]</f>
        <v>5.9970014992503746E-3</v>
      </c>
      <c r="I18">
        <v>0</v>
      </c>
      <c r="J18" s="3">
        <f>Table2[[#This Row],['# UTD with 
Partial Religious Exemption]]/Table2[[#This Row],['# of Students]]</f>
        <v>0</v>
      </c>
    </row>
    <row r="19" spans="1:10" x14ac:dyDescent="0.25">
      <c r="A19" t="s">
        <v>18</v>
      </c>
      <c r="B19">
        <v>112</v>
      </c>
      <c r="C19">
        <v>0</v>
      </c>
      <c r="D19" s="3">
        <f>Table2[[#This Row],['# with Full 
Medical Exemption]]/Table2[[#This Row],['# of Students]]</f>
        <v>0</v>
      </c>
      <c r="E19">
        <v>0</v>
      </c>
      <c r="F19" s="3">
        <f>Table2[[#This Row],['# UTD with 
Partial Medical Exemption]]/Table2[[#This Row],['# of Students]]</f>
        <v>0</v>
      </c>
      <c r="G19">
        <v>1</v>
      </c>
      <c r="H19" s="3">
        <f>Table2[[#This Row],['# with Full 
Religous Exemption]]/Table2[[#This Row],['# of Students]]</f>
        <v>8.9285714285714281E-3</v>
      </c>
      <c r="I19">
        <v>0</v>
      </c>
      <c r="J19" s="3">
        <f>Table2[[#This Row],['# UTD with 
Partial Religious Exemption]]/Table2[[#This Row],['# of Students]]</f>
        <v>0</v>
      </c>
    </row>
    <row r="20" spans="1:10" x14ac:dyDescent="0.25">
      <c r="A20" t="s">
        <v>19</v>
      </c>
      <c r="B20">
        <v>87</v>
      </c>
      <c r="C20">
        <v>0</v>
      </c>
      <c r="D20" s="3">
        <f>Table2[[#This Row],['# with Full 
Medical Exemption]]/Table2[[#This Row],['# of Students]]</f>
        <v>0</v>
      </c>
      <c r="E20">
        <v>0</v>
      </c>
      <c r="F20" s="3">
        <f>Table2[[#This Row],['# UTD with 
Partial Medical Exemption]]/Table2[[#This Row],['# of Students]]</f>
        <v>0</v>
      </c>
      <c r="G20">
        <v>0</v>
      </c>
      <c r="H20" s="3">
        <f>Table2[[#This Row],['# with Full 
Religous Exemption]]/Table2[[#This Row],['# of Students]]</f>
        <v>0</v>
      </c>
      <c r="I20">
        <v>0</v>
      </c>
      <c r="J20" s="3">
        <f>Table2[[#This Row],['# UTD with 
Partial Religious Exemption]]/Table2[[#This Row],['# of Students]]</f>
        <v>0</v>
      </c>
    </row>
    <row r="21" spans="1:10" x14ac:dyDescent="0.25">
      <c r="A21" t="s">
        <v>20</v>
      </c>
      <c r="B21">
        <v>466</v>
      </c>
      <c r="C21">
        <v>1</v>
      </c>
      <c r="D21" s="3">
        <f>Table2[[#This Row],['# with Full 
Medical Exemption]]/Table2[[#This Row],['# of Students]]</f>
        <v>2.1459227467811159E-3</v>
      </c>
      <c r="E21">
        <v>0</v>
      </c>
      <c r="F21" s="3">
        <f>Table2[[#This Row],['# UTD with 
Partial Medical Exemption]]/Table2[[#This Row],['# of Students]]</f>
        <v>0</v>
      </c>
      <c r="G21">
        <v>3</v>
      </c>
      <c r="H21" s="3">
        <f>Table2[[#This Row],['# with Full 
Religous Exemption]]/Table2[[#This Row],['# of Students]]</f>
        <v>6.4377682403433476E-3</v>
      </c>
      <c r="I21">
        <v>0</v>
      </c>
      <c r="J21" s="3">
        <f>Table2[[#This Row],['# UTD with 
Partial Religious Exemption]]/Table2[[#This Row],['# of Students]]</f>
        <v>0</v>
      </c>
    </row>
    <row r="22" spans="1:10" x14ac:dyDescent="0.25">
      <c r="A22" t="s">
        <v>21</v>
      </c>
      <c r="B22">
        <v>189</v>
      </c>
      <c r="C22">
        <v>1</v>
      </c>
      <c r="D22" s="3">
        <f>Table2[[#This Row],['# with Full 
Medical Exemption]]/Table2[[#This Row],['# of Students]]</f>
        <v>5.2910052910052907E-3</v>
      </c>
      <c r="E22">
        <v>0</v>
      </c>
      <c r="F22" s="3">
        <f>Table2[[#This Row],['# UTD with 
Partial Medical Exemption]]/Table2[[#This Row],['# of Students]]</f>
        <v>0</v>
      </c>
      <c r="G22">
        <v>1</v>
      </c>
      <c r="H22" s="3">
        <f>Table2[[#This Row],['# with Full 
Religous Exemption]]/Table2[[#This Row],['# of Students]]</f>
        <v>5.2910052910052907E-3</v>
      </c>
      <c r="I22">
        <v>0</v>
      </c>
      <c r="J22" s="3">
        <f>Table2[[#This Row],['# UTD with 
Partial Religious Exemption]]/Table2[[#This Row],['# of Students]]</f>
        <v>0</v>
      </c>
    </row>
    <row r="23" spans="1:10" x14ac:dyDescent="0.25">
      <c r="A23" t="s">
        <v>22</v>
      </c>
      <c r="B23">
        <v>1039</v>
      </c>
      <c r="C23">
        <v>1</v>
      </c>
      <c r="D23" s="3">
        <f>Table2[[#This Row],['# with Full 
Medical Exemption]]/Table2[[#This Row],['# of Students]]</f>
        <v>9.6246390760346492E-4</v>
      </c>
      <c r="E23">
        <v>2</v>
      </c>
      <c r="F23" s="3">
        <f>Table2[[#This Row],['# UTD with 
Partial Medical Exemption]]/Table2[[#This Row],['# of Students]]</f>
        <v>1.9249278152069298E-3</v>
      </c>
      <c r="G23">
        <v>21</v>
      </c>
      <c r="H23" s="3">
        <f>Table2[[#This Row],['# with Full 
Religous Exemption]]/Table2[[#This Row],['# of Students]]</f>
        <v>2.0211742059672761E-2</v>
      </c>
      <c r="I23">
        <v>0</v>
      </c>
      <c r="J23" s="3">
        <f>Table2[[#This Row],['# UTD with 
Partial Religious Exemption]]/Table2[[#This Row],['# of Students]]</f>
        <v>0</v>
      </c>
    </row>
    <row r="24" spans="1:10" x14ac:dyDescent="0.25">
      <c r="A24" t="s">
        <v>23</v>
      </c>
      <c r="B24">
        <v>566</v>
      </c>
      <c r="C24">
        <v>0</v>
      </c>
      <c r="D24" s="3">
        <f>Table2[[#This Row],['# with Full 
Medical Exemption]]/Table2[[#This Row],['# of Students]]</f>
        <v>0</v>
      </c>
      <c r="E24">
        <v>1</v>
      </c>
      <c r="F24" s="3">
        <f>Table2[[#This Row],['# UTD with 
Partial Medical Exemption]]/Table2[[#This Row],['# of Students]]</f>
        <v>1.7667844522968198E-3</v>
      </c>
      <c r="G24">
        <v>3</v>
      </c>
      <c r="H24" s="3">
        <f>Table2[[#This Row],['# with Full 
Religous Exemption]]/Table2[[#This Row],['# of Students]]</f>
        <v>5.3003533568904597E-3</v>
      </c>
      <c r="I24">
        <v>0</v>
      </c>
      <c r="J24" s="3">
        <f>Table2[[#This Row],['# UTD with 
Partial Religious Exemption]]/Table2[[#This Row],['# of Students]]</f>
        <v>0</v>
      </c>
    </row>
    <row r="25" spans="1:10" x14ac:dyDescent="0.25">
      <c r="A25" t="s">
        <v>24</v>
      </c>
      <c r="B25">
        <v>479</v>
      </c>
      <c r="C25">
        <v>0</v>
      </c>
      <c r="D25" s="3">
        <f>Table2[[#This Row],['# with Full 
Medical Exemption]]/Table2[[#This Row],['# of Students]]</f>
        <v>0</v>
      </c>
      <c r="E25">
        <v>0</v>
      </c>
      <c r="F25" s="3">
        <f>Table2[[#This Row],['# UTD with 
Partial Medical Exemption]]/Table2[[#This Row],['# of Students]]</f>
        <v>0</v>
      </c>
      <c r="G25">
        <v>3</v>
      </c>
      <c r="H25" s="3">
        <f>Table2[[#This Row],['# with Full 
Religous Exemption]]/Table2[[#This Row],['# of Students]]</f>
        <v>6.2630480167014616E-3</v>
      </c>
      <c r="I25">
        <v>0</v>
      </c>
      <c r="J25" s="3">
        <f>Table2[[#This Row],['# UTD with 
Partial Religious Exemption]]/Table2[[#This Row],['# of Students]]</f>
        <v>0</v>
      </c>
    </row>
    <row r="26" spans="1:10" x14ac:dyDescent="0.25">
      <c r="A26" t="s">
        <v>25</v>
      </c>
      <c r="B26">
        <v>1037</v>
      </c>
      <c r="C26">
        <v>0</v>
      </c>
      <c r="D26" s="3">
        <f>Table2[[#This Row],['# with Full 
Medical Exemption]]/Table2[[#This Row],['# of Students]]</f>
        <v>0</v>
      </c>
      <c r="E26">
        <v>1</v>
      </c>
      <c r="F26" s="3">
        <f>Table2[[#This Row],['# UTD with 
Partial Medical Exemption]]/Table2[[#This Row],['# of Students]]</f>
        <v>9.6432015429122472E-4</v>
      </c>
      <c r="G26">
        <v>5</v>
      </c>
      <c r="H26" s="3">
        <f>Table2[[#This Row],['# with Full 
Religous Exemption]]/Table2[[#This Row],['# of Students]]</f>
        <v>4.8216007714561235E-3</v>
      </c>
      <c r="I26">
        <v>0</v>
      </c>
      <c r="J26" s="3">
        <f>Table2[[#This Row],['# UTD with 
Partial Religious Exemption]]/Table2[[#This Row],['# of Students]]</f>
        <v>0</v>
      </c>
    </row>
    <row r="27" spans="1:10" x14ac:dyDescent="0.25">
      <c r="A27" t="s">
        <v>26</v>
      </c>
      <c r="B27">
        <v>1190</v>
      </c>
      <c r="C27">
        <v>0</v>
      </c>
      <c r="D27" s="3">
        <f>Table2[[#This Row],['# with Full 
Medical Exemption]]/Table2[[#This Row],['# of Students]]</f>
        <v>0</v>
      </c>
      <c r="E27">
        <v>1</v>
      </c>
      <c r="F27" s="3">
        <f>Table2[[#This Row],['# UTD with 
Partial Medical Exemption]]/Table2[[#This Row],['# of Students]]</f>
        <v>8.4033613445378156E-4</v>
      </c>
      <c r="G27">
        <v>6</v>
      </c>
      <c r="H27" s="3">
        <f>Table2[[#This Row],['# with Full 
Religous Exemption]]/Table2[[#This Row],['# of Students]]</f>
        <v>5.0420168067226894E-3</v>
      </c>
      <c r="I27">
        <v>0</v>
      </c>
      <c r="J27" s="3">
        <f>Table2[[#This Row],['# UTD with 
Partial Religious Exemption]]/Table2[[#This Row],['# of Students]]</f>
        <v>0</v>
      </c>
    </row>
    <row r="28" spans="1:10" x14ac:dyDescent="0.25">
      <c r="A28" t="s">
        <v>27</v>
      </c>
      <c r="B28">
        <v>451</v>
      </c>
      <c r="C28">
        <v>0</v>
      </c>
      <c r="D28" s="3">
        <f>Table2[[#This Row],['# with Full 
Medical Exemption]]/Table2[[#This Row],['# of Students]]</f>
        <v>0</v>
      </c>
      <c r="E28">
        <v>0</v>
      </c>
      <c r="F28" s="3">
        <f>Table2[[#This Row],['# UTD with 
Partial Medical Exemption]]/Table2[[#This Row],['# of Students]]</f>
        <v>0</v>
      </c>
      <c r="G28">
        <v>2</v>
      </c>
      <c r="H28" s="3">
        <f>Table2[[#This Row],['# with Full 
Religous Exemption]]/Table2[[#This Row],['# of Students]]</f>
        <v>4.434589800443459E-3</v>
      </c>
      <c r="I28">
        <v>0</v>
      </c>
      <c r="J28" s="3">
        <f>Table2[[#This Row],['# UTD with 
Partial Religious Exemption]]/Table2[[#This Row],['# of Students]]</f>
        <v>0</v>
      </c>
    </row>
    <row r="29" spans="1:10" x14ac:dyDescent="0.25">
      <c r="A29" t="s">
        <v>28</v>
      </c>
      <c r="B29">
        <v>1270</v>
      </c>
      <c r="C29">
        <v>0</v>
      </c>
      <c r="D29" s="3">
        <f>Table2[[#This Row],['# with Full 
Medical Exemption]]/Table2[[#This Row],['# of Students]]</f>
        <v>0</v>
      </c>
      <c r="E29">
        <v>0</v>
      </c>
      <c r="F29" s="3">
        <f>Table2[[#This Row],['# UTD with 
Partial Medical Exemption]]/Table2[[#This Row],['# of Students]]</f>
        <v>0</v>
      </c>
      <c r="G29">
        <v>6</v>
      </c>
      <c r="H29" s="3">
        <f>Table2[[#This Row],['# with Full 
Religous Exemption]]/Table2[[#This Row],['# of Students]]</f>
        <v>4.7244094488188976E-3</v>
      </c>
      <c r="I29">
        <v>0</v>
      </c>
      <c r="J29" s="3">
        <f>Table2[[#This Row],['# UTD with 
Partial Religious Exemption]]/Table2[[#This Row],['# of Students]]</f>
        <v>0</v>
      </c>
    </row>
    <row r="30" spans="1:10" x14ac:dyDescent="0.25">
      <c r="A30" t="s">
        <v>29</v>
      </c>
      <c r="B30">
        <v>165</v>
      </c>
      <c r="C30">
        <v>0</v>
      </c>
      <c r="D30" s="3">
        <f>Table2[[#This Row],['# with Full 
Medical Exemption]]/Table2[[#This Row],['# of Students]]</f>
        <v>0</v>
      </c>
      <c r="E30">
        <v>0</v>
      </c>
      <c r="F30" s="3">
        <f>Table2[[#This Row],['# UTD with 
Partial Medical Exemption]]/Table2[[#This Row],['# of Students]]</f>
        <v>0</v>
      </c>
      <c r="G30">
        <v>1</v>
      </c>
      <c r="H30" s="3">
        <f>Table2[[#This Row],['# with Full 
Religous Exemption]]/Table2[[#This Row],['# of Students]]</f>
        <v>6.0606060606060606E-3</v>
      </c>
      <c r="I30">
        <v>0</v>
      </c>
      <c r="J30" s="3">
        <f>Table2[[#This Row],['# UTD with 
Partial Religious Exemption]]/Table2[[#This Row],['# of Students]]</f>
        <v>0</v>
      </c>
    </row>
    <row r="31" spans="1:10" x14ac:dyDescent="0.25">
      <c r="A31" t="s">
        <v>30</v>
      </c>
      <c r="B31">
        <v>467</v>
      </c>
      <c r="C31">
        <v>0</v>
      </c>
      <c r="D31" s="3">
        <f>Table2[[#This Row],['# with Full 
Medical Exemption]]/Table2[[#This Row],['# of Students]]</f>
        <v>0</v>
      </c>
      <c r="E31">
        <v>0</v>
      </c>
      <c r="F31" s="3">
        <f>Table2[[#This Row],['# UTD with 
Partial Medical Exemption]]/Table2[[#This Row],['# of Students]]</f>
        <v>0</v>
      </c>
      <c r="G31">
        <v>3</v>
      </c>
      <c r="H31" s="3">
        <f>Table2[[#This Row],['# with Full 
Religous Exemption]]/Table2[[#This Row],['# of Students]]</f>
        <v>6.4239828693790149E-3</v>
      </c>
      <c r="I31">
        <v>0</v>
      </c>
      <c r="J31" s="3">
        <f>Table2[[#This Row],['# UTD with 
Partial Religious Exemption]]/Table2[[#This Row],['# of Students]]</f>
        <v>0</v>
      </c>
    </row>
    <row r="32" spans="1:10" x14ac:dyDescent="0.25">
      <c r="A32" t="s">
        <v>31</v>
      </c>
      <c r="B32">
        <v>284</v>
      </c>
      <c r="C32">
        <v>0</v>
      </c>
      <c r="D32" s="3">
        <f>Table2[[#This Row],['# with Full 
Medical Exemption]]/Table2[[#This Row],['# of Students]]</f>
        <v>0</v>
      </c>
      <c r="E32">
        <v>1</v>
      </c>
      <c r="F32" s="3">
        <f>Table2[[#This Row],['# UTD with 
Partial Medical Exemption]]/Table2[[#This Row],['# of Students]]</f>
        <v>3.5211267605633804E-3</v>
      </c>
      <c r="G32">
        <v>2</v>
      </c>
      <c r="H32" s="3">
        <f>Table2[[#This Row],['# with Full 
Religous Exemption]]/Table2[[#This Row],['# of Students]]</f>
        <v>7.0422535211267607E-3</v>
      </c>
      <c r="I32">
        <v>0</v>
      </c>
      <c r="J32" s="3">
        <f>Table2[[#This Row],['# UTD with 
Partial Religious Exemption]]/Table2[[#This Row],['# of Students]]</f>
        <v>0</v>
      </c>
    </row>
    <row r="33" spans="1:10" x14ac:dyDescent="0.25">
      <c r="A33" t="s">
        <v>32</v>
      </c>
      <c r="B33">
        <v>79</v>
      </c>
      <c r="C33">
        <v>0</v>
      </c>
      <c r="D33" s="3">
        <f>Table2[[#This Row],['# with Full 
Medical Exemption]]/Table2[[#This Row],['# of Students]]</f>
        <v>0</v>
      </c>
      <c r="E33">
        <v>0</v>
      </c>
      <c r="F33" s="3">
        <f>Table2[[#This Row],['# UTD with 
Partial Medical Exemption]]/Table2[[#This Row],['# of Students]]</f>
        <v>0</v>
      </c>
      <c r="G33">
        <v>0</v>
      </c>
      <c r="H33" s="3">
        <f>Table2[[#This Row],['# with Full 
Religous Exemption]]/Table2[[#This Row],['# of Students]]</f>
        <v>0</v>
      </c>
      <c r="I33">
        <v>0</v>
      </c>
      <c r="J33" s="3">
        <f>Table2[[#This Row],['# UTD with 
Partial Religious Exemption]]/Table2[[#This Row],['# of Students]]</f>
        <v>0</v>
      </c>
    </row>
    <row r="34" spans="1:10" x14ac:dyDescent="0.25">
      <c r="A34" t="s">
        <v>33</v>
      </c>
      <c r="B34">
        <v>192</v>
      </c>
      <c r="C34">
        <v>0</v>
      </c>
      <c r="D34" s="3">
        <f>Table2[[#This Row],['# with Full 
Medical Exemption]]/Table2[[#This Row],['# of Students]]</f>
        <v>0</v>
      </c>
      <c r="E34">
        <v>0</v>
      </c>
      <c r="F34" s="3">
        <f>Table2[[#This Row],['# UTD with 
Partial Medical Exemption]]/Table2[[#This Row],['# of Students]]</f>
        <v>0</v>
      </c>
      <c r="G34">
        <v>0</v>
      </c>
      <c r="H34" s="3">
        <f>Table2[[#This Row],['# with Full 
Religous Exemption]]/Table2[[#This Row],['# of Students]]</f>
        <v>0</v>
      </c>
      <c r="I34">
        <v>0</v>
      </c>
      <c r="J34" s="3">
        <f>Table2[[#This Row],['# UTD with 
Partial Religious Exemption]]/Table2[[#This Row],['# of Students]]</f>
        <v>0</v>
      </c>
    </row>
    <row r="35" spans="1:10" x14ac:dyDescent="0.25">
      <c r="A35" t="s">
        <v>34</v>
      </c>
      <c r="B35">
        <v>194</v>
      </c>
      <c r="C35">
        <v>0</v>
      </c>
      <c r="D35" s="3">
        <f>Table2[[#This Row],['# with Full 
Medical Exemption]]/Table2[[#This Row],['# of Students]]</f>
        <v>0</v>
      </c>
      <c r="E35">
        <v>1</v>
      </c>
      <c r="F35" s="3">
        <f>Table2[[#This Row],['# UTD with 
Partial Medical Exemption]]/Table2[[#This Row],['# of Students]]</f>
        <v>5.1546391752577319E-3</v>
      </c>
      <c r="G35">
        <v>2</v>
      </c>
      <c r="H35" s="3">
        <f>Table2[[#This Row],['# with Full 
Religous Exemption]]/Table2[[#This Row],['# of Students]]</f>
        <v>1.0309278350515464E-2</v>
      </c>
      <c r="I35">
        <v>0</v>
      </c>
      <c r="J35" s="3">
        <f>Table2[[#This Row],['# UTD with 
Partial Religious Exemption]]/Table2[[#This Row],['# of Students]]</f>
        <v>0</v>
      </c>
    </row>
    <row r="36" spans="1:10" x14ac:dyDescent="0.25">
      <c r="A36" t="s">
        <v>35</v>
      </c>
      <c r="B36">
        <v>1434</v>
      </c>
      <c r="C36">
        <v>3</v>
      </c>
      <c r="D36" s="3">
        <f>Table2[[#This Row],['# with Full 
Medical Exemption]]/Table2[[#This Row],['# of Students]]</f>
        <v>2.0920502092050207E-3</v>
      </c>
      <c r="E36">
        <v>0</v>
      </c>
      <c r="F36" s="3">
        <f>Table2[[#This Row],['# UTD with 
Partial Medical Exemption]]/Table2[[#This Row],['# of Students]]</f>
        <v>0</v>
      </c>
      <c r="G36">
        <v>7</v>
      </c>
      <c r="H36" s="3">
        <f>Table2[[#This Row],['# with Full 
Religous Exemption]]/Table2[[#This Row],['# of Students]]</f>
        <v>4.8814504881450485E-3</v>
      </c>
      <c r="I36">
        <v>0</v>
      </c>
      <c r="J36" s="3">
        <f>Table2[[#This Row],['# UTD with 
Partial Religious Exemption]]/Table2[[#This Row],['# of Students]]</f>
        <v>0</v>
      </c>
    </row>
    <row r="37" spans="1:10" x14ac:dyDescent="0.25">
      <c r="A37" t="s">
        <v>36</v>
      </c>
      <c r="B37">
        <v>581</v>
      </c>
      <c r="C37">
        <v>0</v>
      </c>
      <c r="D37" s="3">
        <f>Table2[[#This Row],['# with Full 
Medical Exemption]]/Table2[[#This Row],['# of Students]]</f>
        <v>0</v>
      </c>
      <c r="E37">
        <v>1</v>
      </c>
      <c r="F37" s="3">
        <f>Table2[[#This Row],['# UTD with 
Partial Medical Exemption]]/Table2[[#This Row],['# of Students]]</f>
        <v>1.7211703958691911E-3</v>
      </c>
      <c r="G37">
        <v>7</v>
      </c>
      <c r="H37" s="3">
        <f>Table2[[#This Row],['# with Full 
Religous Exemption]]/Table2[[#This Row],['# of Students]]</f>
        <v>1.2048192771084338E-2</v>
      </c>
      <c r="I37">
        <v>0</v>
      </c>
      <c r="J37" s="3">
        <f>Table2[[#This Row],['# UTD with 
Partial Religious Exemption]]/Table2[[#This Row],['# of Students]]</f>
        <v>0</v>
      </c>
    </row>
    <row r="38" spans="1:10" x14ac:dyDescent="0.25">
      <c r="A38" t="s">
        <v>37</v>
      </c>
      <c r="B38">
        <v>7719</v>
      </c>
      <c r="C38">
        <v>1</v>
      </c>
      <c r="D38" s="3">
        <f>Table2[[#This Row],['# with Full 
Medical Exemption]]/Table2[[#This Row],['# of Students]]</f>
        <v>1.2955045990413266E-4</v>
      </c>
      <c r="E38">
        <v>4</v>
      </c>
      <c r="F38" s="3">
        <f>Table2[[#This Row],['# UTD with 
Partial Medical Exemption]]/Table2[[#This Row],['# of Students]]</f>
        <v>5.1820183961653063E-4</v>
      </c>
      <c r="G38">
        <v>62</v>
      </c>
      <c r="H38" s="3">
        <f>Table2[[#This Row],['# with Full 
Religous Exemption]]/Table2[[#This Row],['# of Students]]</f>
        <v>8.0321285140562242E-3</v>
      </c>
      <c r="I38">
        <v>0</v>
      </c>
      <c r="J38" s="3">
        <f>Table2[[#This Row],['# UTD with 
Partial Religious Exemption]]/Table2[[#This Row],['# of Students]]</f>
        <v>0</v>
      </c>
    </row>
    <row r="39" spans="1:10" x14ac:dyDescent="0.25">
      <c r="A39" t="s">
        <v>38</v>
      </c>
      <c r="B39">
        <v>185</v>
      </c>
      <c r="C39">
        <v>0</v>
      </c>
      <c r="D39" s="3">
        <f>Table2[[#This Row],['# with Full 
Medical Exemption]]/Table2[[#This Row],['# of Students]]</f>
        <v>0</v>
      </c>
      <c r="E39">
        <v>0</v>
      </c>
      <c r="F39" s="3">
        <f>Table2[[#This Row],['# UTD with 
Partial Medical Exemption]]/Table2[[#This Row],['# of Students]]</f>
        <v>0</v>
      </c>
      <c r="G39">
        <v>0</v>
      </c>
      <c r="H39" s="3">
        <f>Table2[[#This Row],['# with Full 
Religous Exemption]]/Table2[[#This Row],['# of Students]]</f>
        <v>0</v>
      </c>
      <c r="I39">
        <v>0</v>
      </c>
      <c r="J39" s="3">
        <f>Table2[[#This Row],['# UTD with 
Partial Religious Exemption]]/Table2[[#This Row],['# of Students]]</f>
        <v>0</v>
      </c>
    </row>
    <row r="40" spans="1:10" x14ac:dyDescent="0.25">
      <c r="A40" t="s">
        <v>39</v>
      </c>
      <c r="B40">
        <v>1009</v>
      </c>
      <c r="C40">
        <v>0</v>
      </c>
      <c r="D40" s="3">
        <f>Table2[[#This Row],['# with Full 
Medical Exemption]]/Table2[[#This Row],['# of Students]]</f>
        <v>0</v>
      </c>
      <c r="E40">
        <v>1</v>
      </c>
      <c r="F40" s="3">
        <f>Table2[[#This Row],['# UTD with 
Partial Medical Exemption]]/Table2[[#This Row],['# of Students]]</f>
        <v>9.9108027750247768E-4</v>
      </c>
      <c r="G40">
        <v>13</v>
      </c>
      <c r="H40" s="3">
        <f>Table2[[#This Row],['# with Full 
Religous Exemption]]/Table2[[#This Row],['# of Students]]</f>
        <v>1.288404360753221E-2</v>
      </c>
      <c r="I40">
        <v>0</v>
      </c>
      <c r="J40" s="3">
        <f>Table2[[#This Row],['# UTD with 
Partial Religious Exemption]]/Table2[[#This Row],['# of Students]]</f>
        <v>0</v>
      </c>
    </row>
    <row r="41" spans="1:10" x14ac:dyDescent="0.25">
      <c r="A41" t="s">
        <v>40</v>
      </c>
      <c r="B41">
        <v>290</v>
      </c>
      <c r="C41">
        <v>0</v>
      </c>
      <c r="D41" s="3">
        <f>Table2[[#This Row],['# with Full 
Medical Exemption]]/Table2[[#This Row],['# of Students]]</f>
        <v>0</v>
      </c>
      <c r="E41">
        <v>0</v>
      </c>
      <c r="F41" s="3">
        <f>Table2[[#This Row],['# UTD with 
Partial Medical Exemption]]/Table2[[#This Row],['# of Students]]</f>
        <v>0</v>
      </c>
      <c r="G41">
        <v>5</v>
      </c>
      <c r="H41" s="3">
        <f>Table2[[#This Row],['# with Full 
Religous Exemption]]/Table2[[#This Row],['# of Students]]</f>
        <v>1.7241379310344827E-2</v>
      </c>
      <c r="I41">
        <v>0</v>
      </c>
      <c r="J41" s="3">
        <f>Table2[[#This Row],['# UTD with 
Partial Religious Exemption]]/Table2[[#This Row],['# of Students]]</f>
        <v>0</v>
      </c>
    </row>
    <row r="42" spans="1:10" x14ac:dyDescent="0.25">
      <c r="A42" t="s">
        <v>41</v>
      </c>
      <c r="B42">
        <v>2052</v>
      </c>
      <c r="C42">
        <v>1</v>
      </c>
      <c r="D42" s="3">
        <f>Table2[[#This Row],['# with Full 
Medical Exemption]]/Table2[[#This Row],['# of Students]]</f>
        <v>4.8732943469785572E-4</v>
      </c>
      <c r="E42">
        <v>1</v>
      </c>
      <c r="F42" s="3">
        <f>Table2[[#This Row],['# UTD with 
Partial Medical Exemption]]/Table2[[#This Row],['# of Students]]</f>
        <v>4.8732943469785572E-4</v>
      </c>
      <c r="G42">
        <v>12</v>
      </c>
      <c r="H42" s="3">
        <f>Table2[[#This Row],['# with Full 
Religous Exemption]]/Table2[[#This Row],['# of Students]]</f>
        <v>5.8479532163742687E-3</v>
      </c>
      <c r="I42">
        <v>0</v>
      </c>
      <c r="J42" s="3">
        <f>Table2[[#This Row],['# UTD with 
Partial Religious Exemption]]/Table2[[#This Row],['# of Students]]</f>
        <v>0</v>
      </c>
    </row>
    <row r="43" spans="1:10" x14ac:dyDescent="0.25">
      <c r="A43" t="s">
        <v>42</v>
      </c>
      <c r="B43">
        <v>1815</v>
      </c>
      <c r="C43">
        <v>2</v>
      </c>
      <c r="D43" s="3">
        <f>Table2[[#This Row],['# with Full 
Medical Exemption]]/Table2[[#This Row],['# of Students]]</f>
        <v>1.1019283746556473E-3</v>
      </c>
      <c r="E43">
        <v>1</v>
      </c>
      <c r="F43" s="3">
        <f>Table2[[#This Row],['# UTD with 
Partial Medical Exemption]]/Table2[[#This Row],['# of Students]]</f>
        <v>5.5096418732782364E-4</v>
      </c>
      <c r="G43">
        <v>16</v>
      </c>
      <c r="H43" s="3">
        <f>Table2[[#This Row],['# with Full 
Religous Exemption]]/Table2[[#This Row],['# of Students]]</f>
        <v>8.8154269972451783E-3</v>
      </c>
      <c r="I43">
        <v>0</v>
      </c>
      <c r="J43" s="3">
        <f>Table2[[#This Row],['# UTD with 
Partial Religious Exemption]]/Table2[[#This Row],['# of Students]]</f>
        <v>0</v>
      </c>
    </row>
    <row r="44" spans="1:10" x14ac:dyDescent="0.25">
      <c r="A44" t="s">
        <v>43</v>
      </c>
      <c r="B44">
        <v>127</v>
      </c>
      <c r="C44">
        <v>0</v>
      </c>
      <c r="D44" s="3">
        <f>Table2[[#This Row],['# with Full 
Medical Exemption]]/Table2[[#This Row],['# of Students]]</f>
        <v>0</v>
      </c>
      <c r="E44">
        <v>0</v>
      </c>
      <c r="F44" s="3">
        <f>Table2[[#This Row],['# UTD with 
Partial Medical Exemption]]/Table2[[#This Row],['# of Students]]</f>
        <v>0</v>
      </c>
      <c r="G44">
        <v>0</v>
      </c>
      <c r="H44" s="3">
        <f>Table2[[#This Row],['# with Full 
Religous Exemption]]/Table2[[#This Row],['# of Students]]</f>
        <v>0</v>
      </c>
      <c r="I44">
        <v>0</v>
      </c>
      <c r="J44" s="3">
        <f>Table2[[#This Row],['# UTD with 
Partial Religious Exemption]]/Table2[[#This Row],['# of Students]]</f>
        <v>0</v>
      </c>
    </row>
    <row r="45" spans="1:10" x14ac:dyDescent="0.25">
      <c r="A45" t="s">
        <v>44</v>
      </c>
      <c r="B45">
        <v>152</v>
      </c>
      <c r="C45">
        <v>0</v>
      </c>
      <c r="D45" s="3">
        <f>Table2[[#This Row],['# with Full 
Medical Exemption]]/Table2[[#This Row],['# of Students]]</f>
        <v>0</v>
      </c>
      <c r="E45">
        <v>0</v>
      </c>
      <c r="F45" s="3">
        <f>Table2[[#This Row],['# UTD with 
Partial Medical Exemption]]/Table2[[#This Row],['# of Students]]</f>
        <v>0</v>
      </c>
      <c r="G45">
        <v>0</v>
      </c>
      <c r="H45" s="3">
        <f>Table2[[#This Row],['# with Full 
Religous Exemption]]/Table2[[#This Row],['# of Students]]</f>
        <v>0</v>
      </c>
      <c r="I45">
        <v>0</v>
      </c>
      <c r="J45" s="3">
        <f>Table2[[#This Row],['# UTD with 
Partial Religious Exemption]]/Table2[[#This Row],['# of Students]]</f>
        <v>0</v>
      </c>
    </row>
    <row r="46" spans="1:10" x14ac:dyDescent="0.25">
      <c r="A46" t="s">
        <v>45</v>
      </c>
      <c r="B46">
        <v>4424</v>
      </c>
      <c r="C46">
        <v>3</v>
      </c>
      <c r="D46" s="3">
        <f>Table2[[#This Row],['# with Full 
Medical Exemption]]/Table2[[#This Row],['# of Students]]</f>
        <v>6.7811934900542496E-4</v>
      </c>
      <c r="E46">
        <v>4</v>
      </c>
      <c r="F46" s="3">
        <f>Table2[[#This Row],['# UTD with 
Partial Medical Exemption]]/Table2[[#This Row],['# of Students]]</f>
        <v>9.0415913200723324E-4</v>
      </c>
      <c r="G46">
        <v>49</v>
      </c>
      <c r="H46" s="3">
        <f>Table2[[#This Row],['# with Full 
Religous Exemption]]/Table2[[#This Row],['# of Students]]</f>
        <v>1.1075949367088608E-2</v>
      </c>
      <c r="I46">
        <v>0</v>
      </c>
      <c r="J46" s="3">
        <f>Table2[[#This Row],['# UTD with 
Partial Religious Exemption]]/Table2[[#This Row],['# of Students]]</f>
        <v>0</v>
      </c>
    </row>
    <row r="47" spans="1:10" x14ac:dyDescent="0.25">
      <c r="A47" t="s">
        <v>46</v>
      </c>
      <c r="B47">
        <v>279</v>
      </c>
      <c r="C47">
        <v>0</v>
      </c>
      <c r="D47" s="3">
        <f>Table2[[#This Row],['# with Full 
Medical Exemption]]/Table2[[#This Row],['# of Students]]</f>
        <v>0</v>
      </c>
      <c r="E47">
        <v>0</v>
      </c>
      <c r="F47" s="3">
        <f>Table2[[#This Row],['# UTD with 
Partial Medical Exemption]]/Table2[[#This Row],['# of Students]]</f>
        <v>0</v>
      </c>
      <c r="G47">
        <v>2</v>
      </c>
      <c r="H47" s="3">
        <f>Table2[[#This Row],['# with Full 
Religous Exemption]]/Table2[[#This Row],['# of Students]]</f>
        <v>7.1684587813620072E-3</v>
      </c>
      <c r="I47">
        <v>0</v>
      </c>
      <c r="J47" s="3">
        <f>Table2[[#This Row],['# UTD with 
Partial Religious Exemption]]/Table2[[#This Row],['# of Students]]</f>
        <v>0</v>
      </c>
    </row>
    <row r="48" spans="1:10" x14ac:dyDescent="0.25">
      <c r="A48" t="s">
        <v>47</v>
      </c>
      <c r="B48">
        <v>366</v>
      </c>
      <c r="C48">
        <v>0</v>
      </c>
      <c r="D48" s="3">
        <f>Table2[[#This Row],['# with Full 
Medical Exemption]]/Table2[[#This Row],['# of Students]]</f>
        <v>0</v>
      </c>
      <c r="E48">
        <v>0</v>
      </c>
      <c r="F48" s="3">
        <f>Table2[[#This Row],['# UTD with 
Partial Medical Exemption]]/Table2[[#This Row],['# of Students]]</f>
        <v>0</v>
      </c>
      <c r="G48">
        <v>3</v>
      </c>
      <c r="H48" s="3">
        <f>Table2[[#This Row],['# with Full 
Religous Exemption]]/Table2[[#This Row],['# of Students]]</f>
        <v>8.1967213114754103E-3</v>
      </c>
      <c r="I48">
        <v>0</v>
      </c>
      <c r="J48" s="3">
        <f>Table2[[#This Row],['# UTD with 
Partial Religious Exemption]]/Table2[[#This Row],['# of Students]]</f>
        <v>0</v>
      </c>
    </row>
    <row r="49" spans="1:10" x14ac:dyDescent="0.25">
      <c r="A49" t="s">
        <v>48</v>
      </c>
      <c r="B49">
        <v>1387</v>
      </c>
      <c r="C49">
        <v>0</v>
      </c>
      <c r="D49" s="3">
        <f>Table2[[#This Row],['# with Full 
Medical Exemption]]/Table2[[#This Row],['# of Students]]</f>
        <v>0</v>
      </c>
      <c r="E49">
        <v>0</v>
      </c>
      <c r="F49" s="3">
        <f>Table2[[#This Row],['# UTD with 
Partial Medical Exemption]]/Table2[[#This Row],['# of Students]]</f>
        <v>0</v>
      </c>
      <c r="G49">
        <v>4</v>
      </c>
      <c r="H49" s="3">
        <f>Table2[[#This Row],['# with Full 
Religous Exemption]]/Table2[[#This Row],['# of Students]]</f>
        <v>2.8839221341023791E-3</v>
      </c>
      <c r="I49">
        <v>0</v>
      </c>
      <c r="J49" s="3">
        <f>Table2[[#This Row],['# UTD with 
Partial Religious Exemption]]/Table2[[#This Row],['# of Students]]</f>
        <v>0</v>
      </c>
    </row>
    <row r="50" spans="1:10" x14ac:dyDescent="0.25">
      <c r="A50" t="s">
        <v>49</v>
      </c>
      <c r="B50">
        <v>5337</v>
      </c>
      <c r="C50">
        <v>7</v>
      </c>
      <c r="D50" s="3">
        <f>Table2[[#This Row],['# with Full 
Medical Exemption]]/Table2[[#This Row],['# of Students]]</f>
        <v>1.3115982761851227E-3</v>
      </c>
      <c r="E50">
        <v>3</v>
      </c>
      <c r="F50" s="3">
        <f>Table2[[#This Row],['# UTD with 
Partial Medical Exemption]]/Table2[[#This Row],['# of Students]]</f>
        <v>5.6211354693648118E-4</v>
      </c>
      <c r="G50">
        <v>66</v>
      </c>
      <c r="H50" s="3">
        <f>Table2[[#This Row],['# with Full 
Religous Exemption]]/Table2[[#This Row],['# of Students]]</f>
        <v>1.2366498032602586E-2</v>
      </c>
      <c r="I50">
        <v>0</v>
      </c>
      <c r="J50" s="3">
        <f>Table2[[#This Row],['# UTD with 
Partial Religious Exemption]]/Table2[[#This Row],['# of Students]]</f>
        <v>0</v>
      </c>
    </row>
    <row r="51" spans="1:10" x14ac:dyDescent="0.25">
      <c r="A51" t="s">
        <v>50</v>
      </c>
      <c r="B51">
        <v>307</v>
      </c>
      <c r="C51">
        <v>0</v>
      </c>
      <c r="D51" s="3">
        <f>Table2[[#This Row],['# with Full 
Medical Exemption]]/Table2[[#This Row],['# of Students]]</f>
        <v>0</v>
      </c>
      <c r="E51">
        <v>1</v>
      </c>
      <c r="F51" s="3">
        <f>Table2[[#This Row],['# UTD with 
Partial Medical Exemption]]/Table2[[#This Row],['# of Students]]</f>
        <v>3.2573289902280132E-3</v>
      </c>
      <c r="G51">
        <v>5</v>
      </c>
      <c r="H51" s="3">
        <f>Table2[[#This Row],['# with Full 
Religous Exemption]]/Table2[[#This Row],['# of Students]]</f>
        <v>1.6286644951140065E-2</v>
      </c>
      <c r="I51">
        <v>0</v>
      </c>
      <c r="J51" s="3">
        <f>Table2[[#This Row],['# UTD with 
Partial Religious Exemption]]/Table2[[#This Row],['# of Students]]</f>
        <v>0</v>
      </c>
    </row>
    <row r="52" spans="1:10" x14ac:dyDescent="0.25">
      <c r="A52" t="s">
        <v>51</v>
      </c>
      <c r="B52">
        <v>2815</v>
      </c>
      <c r="C52">
        <v>0</v>
      </c>
      <c r="D52" s="3">
        <f>Table2[[#This Row],['# with Full 
Medical Exemption]]/Table2[[#This Row],['# of Students]]</f>
        <v>0</v>
      </c>
      <c r="E52">
        <v>4</v>
      </c>
      <c r="F52" s="3">
        <f>Table2[[#This Row],['# UTD with 
Partial Medical Exemption]]/Table2[[#This Row],['# of Students]]</f>
        <v>1.4209591474245115E-3</v>
      </c>
      <c r="G52">
        <v>11</v>
      </c>
      <c r="H52" s="3">
        <f>Table2[[#This Row],['# with Full 
Religous Exemption]]/Table2[[#This Row],['# of Students]]</f>
        <v>3.9076376554174064E-3</v>
      </c>
      <c r="I52">
        <v>0</v>
      </c>
      <c r="J52" s="3">
        <f>Table2[[#This Row],['# UTD with 
Partial Religious Exemption]]/Table2[[#This Row],['# of Students]]</f>
        <v>0</v>
      </c>
    </row>
    <row r="53" spans="1:10" x14ac:dyDescent="0.25">
      <c r="A53" t="s">
        <v>52</v>
      </c>
      <c r="B53">
        <v>1659</v>
      </c>
      <c r="C53">
        <v>1</v>
      </c>
      <c r="D53" s="3">
        <f>Table2[[#This Row],['# with Full 
Medical Exemption]]/Table2[[#This Row],['# of Students]]</f>
        <v>6.0277275467148883E-4</v>
      </c>
      <c r="E53">
        <v>1</v>
      </c>
      <c r="F53" s="3">
        <f>Table2[[#This Row],['# UTD with 
Partial Medical Exemption]]/Table2[[#This Row],['# of Students]]</f>
        <v>6.0277275467148883E-4</v>
      </c>
      <c r="G53">
        <v>17</v>
      </c>
      <c r="H53" s="3">
        <f>Table2[[#This Row],['# with Full 
Religous Exemption]]/Table2[[#This Row],['# of Students]]</f>
        <v>1.0247136829415311E-2</v>
      </c>
      <c r="I53">
        <v>0</v>
      </c>
      <c r="J53" s="3">
        <f>Table2[[#This Row],['# UTD with 
Partial Religious Exemption]]/Table2[[#This Row],['# of Students]]</f>
        <v>0</v>
      </c>
    </row>
    <row r="54" spans="1:10" x14ac:dyDescent="0.25">
      <c r="A54" t="s">
        <v>53</v>
      </c>
      <c r="B54">
        <v>104</v>
      </c>
      <c r="C54">
        <v>0</v>
      </c>
      <c r="D54" s="3">
        <f>Table2[[#This Row],['# with Full 
Medical Exemption]]/Table2[[#This Row],['# of Students]]</f>
        <v>0</v>
      </c>
      <c r="E54">
        <v>0</v>
      </c>
      <c r="F54" s="3">
        <f>Table2[[#This Row],['# UTD with 
Partial Medical Exemption]]/Table2[[#This Row],['# of Students]]</f>
        <v>0</v>
      </c>
      <c r="G54">
        <v>0</v>
      </c>
      <c r="H54" s="3">
        <f>Table2[[#This Row],['# with Full 
Religous Exemption]]/Table2[[#This Row],['# of Students]]</f>
        <v>0</v>
      </c>
      <c r="I54">
        <v>0</v>
      </c>
      <c r="J54" s="3">
        <f>Table2[[#This Row],['# UTD with 
Partial Religious Exemption]]/Table2[[#This Row],['# of Students]]</f>
        <v>0</v>
      </c>
    </row>
    <row r="55" spans="1:10" x14ac:dyDescent="0.25">
      <c r="A55" t="s">
        <v>54</v>
      </c>
      <c r="B55">
        <v>201</v>
      </c>
      <c r="C55">
        <v>0</v>
      </c>
      <c r="D55" s="3">
        <f>Table2[[#This Row],['# with Full 
Medical Exemption]]/Table2[[#This Row],['# of Students]]</f>
        <v>0</v>
      </c>
      <c r="E55">
        <v>0</v>
      </c>
      <c r="F55" s="3">
        <f>Table2[[#This Row],['# UTD with 
Partial Medical Exemption]]/Table2[[#This Row],['# of Students]]</f>
        <v>0</v>
      </c>
      <c r="G55">
        <v>0</v>
      </c>
      <c r="H55" s="3">
        <f>Table2[[#This Row],['# with Full 
Religous Exemption]]/Table2[[#This Row],['# of Students]]</f>
        <v>0</v>
      </c>
      <c r="I55">
        <v>0</v>
      </c>
      <c r="J55" s="3">
        <f>Table2[[#This Row],['# UTD with 
Partial Religious Exemption]]/Table2[[#This Row],['# of Students]]</f>
        <v>0</v>
      </c>
    </row>
    <row r="56" spans="1:10" x14ac:dyDescent="0.25">
      <c r="A56" t="s">
        <v>55</v>
      </c>
      <c r="B56">
        <v>368</v>
      </c>
      <c r="C56">
        <v>0</v>
      </c>
      <c r="D56" s="3">
        <f>Table2[[#This Row],['# with Full 
Medical Exemption]]/Table2[[#This Row],['# of Students]]</f>
        <v>0</v>
      </c>
      <c r="E56">
        <v>1</v>
      </c>
      <c r="F56" s="3">
        <f>Table2[[#This Row],['# UTD with 
Partial Medical Exemption]]/Table2[[#This Row],['# of Students]]</f>
        <v>2.717391304347826E-3</v>
      </c>
      <c r="G56">
        <v>1</v>
      </c>
      <c r="H56" s="3">
        <f>Table2[[#This Row],['# with Full 
Religous Exemption]]/Table2[[#This Row],['# of Students]]</f>
        <v>2.717391304347826E-3</v>
      </c>
      <c r="I56">
        <v>0</v>
      </c>
      <c r="J56" s="3">
        <f>Table2[[#This Row],['# UTD with 
Partial Religious Exemption]]/Table2[[#This Row],['# of Students]]</f>
        <v>0</v>
      </c>
    </row>
    <row r="57" spans="1:10" x14ac:dyDescent="0.25">
      <c r="A57" t="s">
        <v>56</v>
      </c>
      <c r="B57">
        <v>274</v>
      </c>
      <c r="C57">
        <v>0</v>
      </c>
      <c r="D57" s="3">
        <f>Table2[[#This Row],['# with Full 
Medical Exemption]]/Table2[[#This Row],['# of Students]]</f>
        <v>0</v>
      </c>
      <c r="E57">
        <v>1</v>
      </c>
      <c r="F57" s="3">
        <f>Table2[[#This Row],['# UTD with 
Partial Medical Exemption]]/Table2[[#This Row],['# of Students]]</f>
        <v>3.6496350364963502E-3</v>
      </c>
      <c r="G57">
        <v>4</v>
      </c>
      <c r="H57" s="3">
        <f>Table2[[#This Row],['# with Full 
Religous Exemption]]/Table2[[#This Row],['# of Students]]</f>
        <v>1.4598540145985401E-2</v>
      </c>
      <c r="I57">
        <v>0</v>
      </c>
      <c r="J57" s="3">
        <f>Table2[[#This Row],['# UTD with 
Partial Religious Exemption]]/Table2[[#This Row],['# of Students]]</f>
        <v>0</v>
      </c>
    </row>
    <row r="58" spans="1:10" x14ac:dyDescent="0.25">
      <c r="A58" t="s">
        <v>57</v>
      </c>
      <c r="B58">
        <v>916</v>
      </c>
      <c r="C58">
        <v>0</v>
      </c>
      <c r="D58" s="3">
        <f>Table2[[#This Row],['# with Full 
Medical Exemption]]/Table2[[#This Row],['# of Students]]</f>
        <v>0</v>
      </c>
      <c r="E58">
        <v>0</v>
      </c>
      <c r="F58" s="3">
        <f>Table2[[#This Row],['# UTD with 
Partial Medical Exemption]]/Table2[[#This Row],['# of Students]]</f>
        <v>0</v>
      </c>
      <c r="G58">
        <v>0</v>
      </c>
      <c r="H58" s="3">
        <f>Table2[[#This Row],['# with Full 
Religous Exemption]]/Table2[[#This Row],['# of Students]]</f>
        <v>0</v>
      </c>
      <c r="I58">
        <v>0</v>
      </c>
      <c r="J58" s="3">
        <f>Table2[[#This Row],['# UTD with 
Partial Religious Exemption]]/Table2[[#This Row],['# of Students]]</f>
        <v>0</v>
      </c>
    </row>
    <row r="59" spans="1:10" x14ac:dyDescent="0.25">
      <c r="A59" t="s">
        <v>58</v>
      </c>
      <c r="B59">
        <v>3439</v>
      </c>
      <c r="C59">
        <v>4</v>
      </c>
      <c r="D59" s="3">
        <f>Table2[[#This Row],['# with Full 
Medical Exemption]]/Table2[[#This Row],['# of Students]]</f>
        <v>1.1631288165164292E-3</v>
      </c>
      <c r="E59">
        <v>2</v>
      </c>
      <c r="F59" s="3">
        <f>Table2[[#This Row],['# UTD with 
Partial Medical Exemption]]/Table2[[#This Row],['# of Students]]</f>
        <v>5.8156440825821458E-4</v>
      </c>
      <c r="G59">
        <v>46</v>
      </c>
      <c r="H59" s="3">
        <f>Table2[[#This Row],['# with Full 
Religous Exemption]]/Table2[[#This Row],['# of Students]]</f>
        <v>1.3375981389938936E-2</v>
      </c>
      <c r="I59">
        <v>0</v>
      </c>
      <c r="J59" s="3">
        <f>Table2[[#This Row],['# UTD with 
Partial Religious Exemption]]/Table2[[#This Row],['# of Students]]</f>
        <v>0</v>
      </c>
    </row>
    <row r="60" spans="1:10" x14ac:dyDescent="0.25">
      <c r="A60" t="s">
        <v>59</v>
      </c>
      <c r="B60">
        <v>1082</v>
      </c>
      <c r="C60">
        <v>0</v>
      </c>
      <c r="D60" s="3">
        <f>Table2[[#This Row],['# with Full 
Medical Exemption]]/Table2[[#This Row],['# of Students]]</f>
        <v>0</v>
      </c>
      <c r="E60">
        <v>1</v>
      </c>
      <c r="F60" s="3">
        <f>Table2[[#This Row],['# UTD with 
Partial Medical Exemption]]/Table2[[#This Row],['# of Students]]</f>
        <v>9.2421441774491681E-4</v>
      </c>
      <c r="G60">
        <v>15</v>
      </c>
      <c r="H60" s="3">
        <f>Table2[[#This Row],['# with Full 
Religous Exemption]]/Table2[[#This Row],['# of Students]]</f>
        <v>1.3863216266173753E-2</v>
      </c>
      <c r="I60">
        <v>0</v>
      </c>
      <c r="J60" s="3">
        <f>Table2[[#This Row],['# UTD with 
Partial Religious Exemption]]/Table2[[#This Row],['# of Students]]</f>
        <v>0</v>
      </c>
    </row>
    <row r="61" spans="1:10" x14ac:dyDescent="0.25">
      <c r="A61" t="s">
        <v>60</v>
      </c>
      <c r="B61">
        <v>127</v>
      </c>
      <c r="C61">
        <v>0</v>
      </c>
      <c r="D61" s="3">
        <f>Table2[[#This Row],['# with Full 
Medical Exemption]]/Table2[[#This Row],['# of Students]]</f>
        <v>0</v>
      </c>
      <c r="E61">
        <v>0</v>
      </c>
      <c r="F61" s="3">
        <f>Table2[[#This Row],['# UTD with 
Partial Medical Exemption]]/Table2[[#This Row],['# of Students]]</f>
        <v>0</v>
      </c>
      <c r="G61">
        <v>0</v>
      </c>
      <c r="H61" s="3">
        <f>Table2[[#This Row],['# with Full 
Religous Exemption]]/Table2[[#This Row],['# of Students]]</f>
        <v>0</v>
      </c>
      <c r="I61">
        <v>0</v>
      </c>
      <c r="J61" s="3">
        <f>Table2[[#This Row],['# UTD with 
Partial Religious Exemption]]/Table2[[#This Row],['# of Students]]</f>
        <v>0</v>
      </c>
    </row>
    <row r="62" spans="1:10" x14ac:dyDescent="0.25">
      <c r="A62" t="s">
        <v>61</v>
      </c>
      <c r="B62">
        <v>904</v>
      </c>
      <c r="C62">
        <v>0</v>
      </c>
      <c r="D62" s="3">
        <f>Table2[[#This Row],['# with Full 
Medical Exemption]]/Table2[[#This Row],['# of Students]]</f>
        <v>0</v>
      </c>
      <c r="E62">
        <v>0</v>
      </c>
      <c r="F62" s="3">
        <f>Table2[[#This Row],['# UTD with 
Partial Medical Exemption]]/Table2[[#This Row],['# of Students]]</f>
        <v>0</v>
      </c>
      <c r="G62">
        <v>3</v>
      </c>
      <c r="H62" s="3">
        <f>Table2[[#This Row],['# with Full 
Religous Exemption]]/Table2[[#This Row],['# of Students]]</f>
        <v>3.3185840707964601E-3</v>
      </c>
      <c r="I62">
        <v>0</v>
      </c>
      <c r="J62" s="3">
        <f>Table2[[#This Row],['# UTD with 
Partial Religious Exemption]]/Table2[[#This Row],['# of Students]]</f>
        <v>0</v>
      </c>
    </row>
    <row r="63" spans="1:10" x14ac:dyDescent="0.25">
      <c r="A63" t="s">
        <v>62</v>
      </c>
      <c r="B63">
        <v>446</v>
      </c>
      <c r="C63">
        <v>0</v>
      </c>
      <c r="D63" s="3">
        <f>Table2[[#This Row],['# with Full 
Medical Exemption]]/Table2[[#This Row],['# of Students]]</f>
        <v>0</v>
      </c>
      <c r="E63">
        <v>0</v>
      </c>
      <c r="F63" s="3">
        <f>Table2[[#This Row],['# UTD with 
Partial Medical Exemption]]/Table2[[#This Row],['# of Students]]</f>
        <v>0</v>
      </c>
      <c r="G63">
        <v>4</v>
      </c>
      <c r="H63" s="3">
        <f>Table2[[#This Row],['# with Full 
Religous Exemption]]/Table2[[#This Row],['# of Students]]</f>
        <v>8.9686098654708519E-3</v>
      </c>
      <c r="I63">
        <v>0</v>
      </c>
      <c r="J63" s="3">
        <f>Table2[[#This Row],['# UTD with 
Partial Religious Exemption]]/Table2[[#This Row],['# of Students]]</f>
        <v>0</v>
      </c>
    </row>
    <row r="64" spans="1:10" x14ac:dyDescent="0.25">
      <c r="A64" t="s">
        <v>63</v>
      </c>
      <c r="B64">
        <v>2497</v>
      </c>
      <c r="C64">
        <v>1</v>
      </c>
      <c r="D64" s="3">
        <f>Table2[[#This Row],['# with Full 
Medical Exemption]]/Table2[[#This Row],['# of Students]]</f>
        <v>4.0048057669203043E-4</v>
      </c>
      <c r="E64">
        <v>1</v>
      </c>
      <c r="F64" s="3">
        <f>Table2[[#This Row],['# UTD with 
Partial Medical Exemption]]/Table2[[#This Row],['# of Students]]</f>
        <v>4.0048057669203043E-4</v>
      </c>
      <c r="G64">
        <v>17</v>
      </c>
      <c r="H64" s="3">
        <f>Table2[[#This Row],['# with Full 
Religous Exemption]]/Table2[[#This Row],['# of Students]]</f>
        <v>6.8081698037645178E-3</v>
      </c>
      <c r="I64">
        <v>0</v>
      </c>
      <c r="J64" s="3">
        <f>Table2[[#This Row],['# UTD with 
Partial Religious Exemption]]/Table2[[#This Row],['# of Students]]</f>
        <v>0</v>
      </c>
    </row>
    <row r="65" spans="1:10" x14ac:dyDescent="0.25">
      <c r="A65" t="s">
        <v>64</v>
      </c>
      <c r="B65">
        <v>735</v>
      </c>
      <c r="C65">
        <v>0</v>
      </c>
      <c r="D65" s="3">
        <f>Table2[[#This Row],['# with Full 
Medical Exemption]]/Table2[[#This Row],['# of Students]]</f>
        <v>0</v>
      </c>
      <c r="E65">
        <v>0</v>
      </c>
      <c r="F65" s="3">
        <f>Table2[[#This Row],['# UTD with 
Partial Medical Exemption]]/Table2[[#This Row],['# of Students]]</f>
        <v>0</v>
      </c>
      <c r="G65">
        <v>1</v>
      </c>
      <c r="H65" s="3">
        <f>Table2[[#This Row],['# with Full 
Religous Exemption]]/Table2[[#This Row],['# of Students]]</f>
        <v>1.3605442176870747E-3</v>
      </c>
      <c r="I65">
        <v>0</v>
      </c>
      <c r="J65" s="3">
        <f>Table2[[#This Row],['# UTD with 
Partial Religious Exemption]]/Table2[[#This Row],['# of Students]]</f>
        <v>0</v>
      </c>
    </row>
    <row r="66" spans="1:10" x14ac:dyDescent="0.25">
      <c r="A66" t="s">
        <v>65</v>
      </c>
      <c r="B66">
        <v>195</v>
      </c>
      <c r="C66">
        <v>0</v>
      </c>
      <c r="D66" s="3">
        <f>Table2[[#This Row],['# with Full 
Medical Exemption]]/Table2[[#This Row],['# of Students]]</f>
        <v>0</v>
      </c>
      <c r="E66">
        <v>0</v>
      </c>
      <c r="F66" s="3">
        <f>Table2[[#This Row],['# UTD with 
Partial Medical Exemption]]/Table2[[#This Row],['# of Students]]</f>
        <v>0</v>
      </c>
      <c r="G66">
        <v>1</v>
      </c>
      <c r="H66" s="3">
        <f>Table2[[#This Row],['# with Full 
Religous Exemption]]/Table2[[#This Row],['# of Students]]</f>
        <v>5.1282051282051282E-3</v>
      </c>
      <c r="I66">
        <v>0</v>
      </c>
      <c r="J66" s="3">
        <f>Table2[[#This Row],['# UTD with 
Partial Religious Exemption]]/Table2[[#This Row],['# of Students]]</f>
        <v>0</v>
      </c>
    </row>
    <row r="67" spans="1:10" x14ac:dyDescent="0.25">
      <c r="A67" t="s">
        <v>66</v>
      </c>
      <c r="B67">
        <v>106</v>
      </c>
      <c r="C67">
        <v>0</v>
      </c>
      <c r="D67" s="3">
        <f>Table2[[#This Row],['# with Full 
Medical Exemption]]/Table2[[#This Row],['# of Students]]</f>
        <v>0</v>
      </c>
      <c r="E67">
        <v>0</v>
      </c>
      <c r="F67" s="3">
        <f>Table2[[#This Row],['# UTD with 
Partial Medical Exemption]]/Table2[[#This Row],['# of Students]]</f>
        <v>0</v>
      </c>
      <c r="G67">
        <v>0</v>
      </c>
      <c r="H67" s="3">
        <f>Table2[[#This Row],['# with Full 
Religous Exemption]]/Table2[[#This Row],['# of Students]]</f>
        <v>0</v>
      </c>
      <c r="I67">
        <v>0</v>
      </c>
      <c r="J67" s="3">
        <f>Table2[[#This Row],['# UTD with 
Partial Religious Exemption]]/Table2[[#This Row],['# of Students]]</f>
        <v>0</v>
      </c>
    </row>
    <row r="68" spans="1:10" x14ac:dyDescent="0.25">
      <c r="A68" t="s">
        <v>67</v>
      </c>
      <c r="B68">
        <v>279</v>
      </c>
      <c r="C68">
        <v>0</v>
      </c>
      <c r="D68" s="3">
        <f>Table2[[#This Row],['# with Full 
Medical Exemption]]/Table2[[#This Row],['# of Students]]</f>
        <v>0</v>
      </c>
      <c r="E68">
        <v>0</v>
      </c>
      <c r="F68" s="3">
        <f>Table2[[#This Row],['# UTD with 
Partial Medical Exemption]]/Table2[[#This Row],['# of Students]]</f>
        <v>0</v>
      </c>
      <c r="G68">
        <v>8</v>
      </c>
      <c r="H68" s="3">
        <f>Table2[[#This Row],['# with Full 
Religous Exemption]]/Table2[[#This Row],['# of Students]]</f>
        <v>2.8673835125448029E-2</v>
      </c>
      <c r="I68">
        <v>0</v>
      </c>
      <c r="J68" s="3">
        <f>Table2[[#This Row],['# UTD with 
Partial Religious Exemption]]/Table2[[#This Row],['# of Students]]</f>
        <v>0</v>
      </c>
    </row>
    <row r="69" spans="1:10" x14ac:dyDescent="0.25">
      <c r="B69">
        <f>SUBTOTAL(109,Table2['# of Students])</f>
        <v>62761</v>
      </c>
      <c r="C69">
        <f>SUBTOTAL(109,Table2['# with Full 
Medical Exemption])</f>
        <v>33</v>
      </c>
      <c r="D69" s="4">
        <f>Table2[[#Totals],['# with Full 
Medical Exemption]]/Table2[[#Totals],['# of Students]]</f>
        <v>5.25804241487548E-4</v>
      </c>
      <c r="E69">
        <f>SUBTOTAL(109,Table2['# UTD with 
Partial Medical Exemption])</f>
        <v>44</v>
      </c>
      <c r="F69" s="4">
        <f>Table2[[#Totals],['# UTD with 
Partial Medical Exemption]]/Table2[[#Totals],['# of Students]]</f>
        <v>7.0107232198339737E-4</v>
      </c>
      <c r="G69">
        <f>SUBTOTAL(109,Table2['# with Full 
Religous Exemption])</f>
        <v>574</v>
      </c>
      <c r="H69" s="4">
        <f>Table2[[#Totals],['# with Full 
Religous Exemption]]/Table2[[#Totals],['# of Students]]</f>
        <v>9.1458071095106841E-3</v>
      </c>
      <c r="I69">
        <f>SUBTOTAL(109,Table2['# UTD with 
Partial Religious Exemption])</f>
        <v>1</v>
      </c>
      <c r="J69" s="4">
        <f>Table2[[#Totals],['# UTD with 
Partial Religious Exemption]]/Table2[[#Totals],['# of Students]]</f>
        <v>1.5933461863259031E-5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9C5B-92B7-4889-ACDB-B4789A115EE6}">
  <dimension ref="A1:J69"/>
  <sheetViews>
    <sheetView workbookViewId="0">
      <selection activeCell="B69" sqref="B69"/>
    </sheetView>
  </sheetViews>
  <sheetFormatPr defaultRowHeight="15" x14ac:dyDescent="0.25"/>
  <cols>
    <col min="1" max="1" width="14.28515625" bestFit="1" customWidth="1"/>
    <col min="2" max="2" width="14.7109375" customWidth="1"/>
    <col min="3" max="3" width="20.7109375" bestFit="1" customWidth="1"/>
    <col min="4" max="4" width="20.7109375" style="3" bestFit="1" customWidth="1"/>
    <col min="5" max="5" width="27" bestFit="1" customWidth="1"/>
    <col min="6" max="6" width="25.85546875" style="3" bestFit="1" customWidth="1"/>
    <col min="7" max="7" width="21.140625" bestFit="1" customWidth="1"/>
    <col min="8" max="8" width="21.140625" style="3" bestFit="1" customWidth="1"/>
    <col min="9" max="9" width="28.140625" bestFit="1" customWidth="1"/>
    <col min="10" max="10" width="28.140625" style="3" bestFit="1" customWidth="1"/>
  </cols>
  <sheetData>
    <row r="1" spans="1:10" ht="30" x14ac:dyDescent="0.25">
      <c r="A1" t="s">
        <v>0</v>
      </c>
      <c r="B1" t="s">
        <v>68</v>
      </c>
      <c r="C1" s="1" t="s">
        <v>69</v>
      </c>
      <c r="D1" s="2" t="s">
        <v>70</v>
      </c>
      <c r="E1" s="1" t="s">
        <v>71</v>
      </c>
      <c r="F1" s="2" t="s">
        <v>72</v>
      </c>
      <c r="G1" s="1" t="s">
        <v>73</v>
      </c>
      <c r="H1" s="2" t="s">
        <v>74</v>
      </c>
      <c r="I1" s="1" t="s">
        <v>75</v>
      </c>
      <c r="J1" s="2" t="s">
        <v>76</v>
      </c>
    </row>
    <row r="2" spans="1:10" x14ac:dyDescent="0.25">
      <c r="A2" t="s">
        <v>1</v>
      </c>
      <c r="B2">
        <v>776</v>
      </c>
      <c r="C2">
        <v>2</v>
      </c>
      <c r="D2" s="3">
        <f>Table3[[#This Row],['# with Full 
Medical Exemption]]/Table3[[#This Row],['# of Students]]</f>
        <v>2.5773195876288659E-3</v>
      </c>
      <c r="E2">
        <v>1</v>
      </c>
      <c r="F2" s="3">
        <f>Table3[[#This Row],['# UTD with 
Partial Medical Exemption]]/Table3[[#This Row],['# of Students]]</f>
        <v>1.288659793814433E-3</v>
      </c>
      <c r="G2">
        <v>10</v>
      </c>
      <c r="H2" s="3">
        <f>Table3[[#This Row],['# with Full 
Religous Exemption]]/Table3[[#This Row],['# of Students]]</f>
        <v>1.2886597938144329E-2</v>
      </c>
      <c r="I2">
        <v>0</v>
      </c>
      <c r="J2" s="3">
        <f>Table3[[#This Row],['# UTD with 
Partial Religious Exemption]]/Table3[[#This Row],['# of Students]]</f>
        <v>0</v>
      </c>
    </row>
    <row r="3" spans="1:10" x14ac:dyDescent="0.25">
      <c r="A3" t="s">
        <v>2</v>
      </c>
      <c r="B3">
        <v>3076</v>
      </c>
      <c r="C3">
        <v>6</v>
      </c>
      <c r="D3" s="3">
        <f>Table3[[#This Row],['# with Full 
Medical Exemption]]/Table3[[#This Row],['# of Students]]</f>
        <v>1.9505851755526658E-3</v>
      </c>
      <c r="E3">
        <v>3</v>
      </c>
      <c r="F3" s="3">
        <f>Table3[[#This Row],['# UTD with 
Partial Medical Exemption]]/Table3[[#This Row],['# of Students]]</f>
        <v>9.7529258777633292E-4</v>
      </c>
      <c r="G3">
        <v>81</v>
      </c>
      <c r="H3" s="3">
        <f>Table3[[#This Row],['# with Full 
Religous Exemption]]/Table3[[#This Row],['# of Students]]</f>
        <v>2.6332899869960989E-2</v>
      </c>
      <c r="I3">
        <v>0</v>
      </c>
      <c r="J3" s="3">
        <f>Table3[[#This Row],['# UTD with 
Partial Religious Exemption]]/Table3[[#This Row],['# of Students]]</f>
        <v>0</v>
      </c>
    </row>
    <row r="4" spans="1:10" x14ac:dyDescent="0.25">
      <c r="A4" t="s">
        <v>3</v>
      </c>
      <c r="B4">
        <v>551</v>
      </c>
      <c r="C4">
        <v>0</v>
      </c>
      <c r="D4" s="3">
        <f>Table3[[#This Row],['# with Full 
Medical Exemption]]/Table3[[#This Row],['# of Students]]</f>
        <v>0</v>
      </c>
      <c r="E4">
        <v>0</v>
      </c>
      <c r="F4" s="3">
        <f>Table3[[#This Row],['# UTD with 
Partial Medical Exemption]]/Table3[[#This Row],['# of Students]]</f>
        <v>0</v>
      </c>
      <c r="G4">
        <v>8</v>
      </c>
      <c r="H4" s="3">
        <f>Table3[[#This Row],['# with Full 
Religous Exemption]]/Table3[[#This Row],['# of Students]]</f>
        <v>1.4519056261343012E-2</v>
      </c>
      <c r="I4">
        <v>0</v>
      </c>
      <c r="J4" s="3">
        <f>Table3[[#This Row],['# UTD with 
Partial Religious Exemption]]/Table3[[#This Row],['# of Students]]</f>
        <v>0</v>
      </c>
    </row>
    <row r="5" spans="1:10" x14ac:dyDescent="0.25">
      <c r="A5" t="s">
        <v>4</v>
      </c>
      <c r="B5">
        <v>211</v>
      </c>
      <c r="C5">
        <v>0</v>
      </c>
      <c r="D5" s="3">
        <f>Table3[[#This Row],['# with Full 
Medical Exemption]]/Table3[[#This Row],['# of Students]]</f>
        <v>0</v>
      </c>
      <c r="E5">
        <v>0</v>
      </c>
      <c r="F5" s="3">
        <f>Table3[[#This Row],['# UTD with 
Partial Medical Exemption]]/Table3[[#This Row],['# of Students]]</f>
        <v>0</v>
      </c>
      <c r="G5">
        <v>2</v>
      </c>
      <c r="H5" s="3">
        <f>Table3[[#This Row],['# with Full 
Religous Exemption]]/Table3[[#This Row],['# of Students]]</f>
        <v>9.4786729857819912E-3</v>
      </c>
      <c r="I5">
        <v>0</v>
      </c>
      <c r="J5" s="3">
        <f>Table3[[#This Row],['# UTD with 
Partial Religious Exemption]]/Table3[[#This Row],['# of Students]]</f>
        <v>0</v>
      </c>
    </row>
    <row r="6" spans="1:10" x14ac:dyDescent="0.25">
      <c r="A6" t="s">
        <v>5</v>
      </c>
      <c r="B6">
        <v>705</v>
      </c>
      <c r="C6">
        <v>1</v>
      </c>
      <c r="D6" s="3">
        <f>Table3[[#This Row],['# with Full 
Medical Exemption]]/Table3[[#This Row],['# of Students]]</f>
        <v>1.4184397163120568E-3</v>
      </c>
      <c r="E6">
        <v>0</v>
      </c>
      <c r="F6" s="3">
        <f>Table3[[#This Row],['# UTD with 
Partial Medical Exemption]]/Table3[[#This Row],['# of Students]]</f>
        <v>0</v>
      </c>
      <c r="G6">
        <v>8</v>
      </c>
      <c r="H6" s="3">
        <f>Table3[[#This Row],['# with Full 
Religous Exemption]]/Table3[[#This Row],['# of Students]]</f>
        <v>1.1347517730496455E-2</v>
      </c>
      <c r="I6">
        <v>0</v>
      </c>
      <c r="J6" s="3">
        <f>Table3[[#This Row],['# UTD with 
Partial Religious Exemption]]/Table3[[#This Row],['# of Students]]</f>
        <v>0</v>
      </c>
    </row>
    <row r="7" spans="1:10" x14ac:dyDescent="0.25">
      <c r="A7" t="s">
        <v>6</v>
      </c>
      <c r="B7">
        <v>113</v>
      </c>
      <c r="C7">
        <v>0</v>
      </c>
      <c r="D7" s="3">
        <f>Table3[[#This Row],['# with Full 
Medical Exemption]]/Table3[[#This Row],['# of Students]]</f>
        <v>0</v>
      </c>
      <c r="E7">
        <v>0</v>
      </c>
      <c r="F7" s="3">
        <f>Table3[[#This Row],['# UTD with 
Partial Medical Exemption]]/Table3[[#This Row],['# of Students]]</f>
        <v>0</v>
      </c>
      <c r="G7">
        <v>0</v>
      </c>
      <c r="H7" s="3">
        <f>Table3[[#This Row],['# with Full 
Religous Exemption]]/Table3[[#This Row],['# of Students]]</f>
        <v>0</v>
      </c>
      <c r="I7">
        <v>0</v>
      </c>
      <c r="J7" s="3">
        <f>Table3[[#This Row],['# UTD with 
Partial Religious Exemption]]/Table3[[#This Row],['# of Students]]</f>
        <v>0</v>
      </c>
    </row>
    <row r="8" spans="1:10" x14ac:dyDescent="0.25">
      <c r="A8" t="s">
        <v>7</v>
      </c>
      <c r="B8">
        <v>237</v>
      </c>
      <c r="C8">
        <v>0</v>
      </c>
      <c r="D8" s="3">
        <f>Table3[[#This Row],['# with Full 
Medical Exemption]]/Table3[[#This Row],['# of Students]]</f>
        <v>0</v>
      </c>
      <c r="E8">
        <v>0</v>
      </c>
      <c r="F8" s="3">
        <f>Table3[[#This Row],['# UTD with 
Partial Medical Exemption]]/Table3[[#This Row],['# of Students]]</f>
        <v>0</v>
      </c>
      <c r="G8">
        <v>0</v>
      </c>
      <c r="H8" s="3">
        <f>Table3[[#This Row],['# with Full 
Religous Exemption]]/Table3[[#This Row],['# of Students]]</f>
        <v>0</v>
      </c>
      <c r="I8">
        <v>0</v>
      </c>
      <c r="J8" s="3">
        <f>Table3[[#This Row],['# UTD with 
Partial Religious Exemption]]/Table3[[#This Row],['# of Students]]</f>
        <v>0</v>
      </c>
    </row>
    <row r="9" spans="1:10" x14ac:dyDescent="0.25">
      <c r="A9" t="s">
        <v>8</v>
      </c>
      <c r="B9">
        <v>1303</v>
      </c>
      <c r="C9">
        <v>1</v>
      </c>
      <c r="D9" s="3">
        <f>Table3[[#This Row],['# with Full 
Medical Exemption]]/Table3[[#This Row],['# of Students]]</f>
        <v>7.6745970836531081E-4</v>
      </c>
      <c r="E9">
        <v>2</v>
      </c>
      <c r="F9" s="3">
        <f>Table3[[#This Row],['# UTD with 
Partial Medical Exemption]]/Table3[[#This Row],['# of Students]]</f>
        <v>1.5349194167306216E-3</v>
      </c>
      <c r="G9">
        <v>15</v>
      </c>
      <c r="H9" s="3">
        <f>Table3[[#This Row],['# with Full 
Religous Exemption]]/Table3[[#This Row],['# of Students]]</f>
        <v>1.1511895625479662E-2</v>
      </c>
      <c r="I9">
        <v>0</v>
      </c>
      <c r="J9" s="3">
        <f>Table3[[#This Row],['# UTD with 
Partial Religious Exemption]]/Table3[[#This Row],['# of Students]]</f>
        <v>0</v>
      </c>
    </row>
    <row r="10" spans="1:10" x14ac:dyDescent="0.25">
      <c r="A10" t="s">
        <v>9</v>
      </c>
      <c r="B10">
        <v>337</v>
      </c>
      <c r="C10">
        <v>0</v>
      </c>
      <c r="D10" s="3">
        <f>Table3[[#This Row],['# with Full 
Medical Exemption]]/Table3[[#This Row],['# of Students]]</f>
        <v>0</v>
      </c>
      <c r="E10">
        <v>0</v>
      </c>
      <c r="F10" s="3">
        <f>Table3[[#This Row],['# UTD with 
Partial Medical Exemption]]/Table3[[#This Row],['# of Students]]</f>
        <v>0</v>
      </c>
      <c r="G10">
        <v>0</v>
      </c>
      <c r="H10" s="3">
        <f>Table3[[#This Row],['# with Full 
Religous Exemption]]/Table3[[#This Row],['# of Students]]</f>
        <v>0</v>
      </c>
      <c r="I10">
        <v>0</v>
      </c>
      <c r="J10" s="3">
        <f>Table3[[#This Row],['# UTD with 
Partial Religious Exemption]]/Table3[[#This Row],['# of Students]]</f>
        <v>0</v>
      </c>
    </row>
    <row r="11" spans="1:10" x14ac:dyDescent="0.25">
      <c r="A11" t="s">
        <v>10</v>
      </c>
      <c r="B11">
        <v>316</v>
      </c>
      <c r="C11">
        <v>1</v>
      </c>
      <c r="D11" s="3">
        <f>Table3[[#This Row],['# with Full 
Medical Exemption]]/Table3[[#This Row],['# of Students]]</f>
        <v>3.1645569620253164E-3</v>
      </c>
      <c r="E11">
        <v>0</v>
      </c>
      <c r="F11" s="3">
        <f>Table3[[#This Row],['# UTD with 
Partial Medical Exemption]]/Table3[[#This Row],['# of Students]]</f>
        <v>0</v>
      </c>
      <c r="G11">
        <v>2</v>
      </c>
      <c r="H11" s="3">
        <f>Table3[[#This Row],['# with Full 
Religous Exemption]]/Table3[[#This Row],['# of Students]]</f>
        <v>6.3291139240506328E-3</v>
      </c>
      <c r="I11">
        <v>0</v>
      </c>
      <c r="J11" s="3">
        <f>Table3[[#This Row],['# UTD with 
Partial Religious Exemption]]/Table3[[#This Row],['# of Students]]</f>
        <v>0</v>
      </c>
    </row>
    <row r="12" spans="1:10" x14ac:dyDescent="0.25">
      <c r="A12" t="s">
        <v>11</v>
      </c>
      <c r="B12">
        <v>711</v>
      </c>
      <c r="C12">
        <v>0</v>
      </c>
      <c r="D12" s="3">
        <f>Table3[[#This Row],['# with Full 
Medical Exemption]]/Table3[[#This Row],['# of Students]]</f>
        <v>0</v>
      </c>
      <c r="E12">
        <v>0</v>
      </c>
      <c r="F12" s="3">
        <f>Table3[[#This Row],['# UTD with 
Partial Medical Exemption]]/Table3[[#This Row],['# of Students]]</f>
        <v>0</v>
      </c>
      <c r="G12">
        <v>0</v>
      </c>
      <c r="H12" s="3">
        <f>Table3[[#This Row],['# with Full 
Religous Exemption]]/Table3[[#This Row],['# of Students]]</f>
        <v>0</v>
      </c>
      <c r="I12">
        <v>0</v>
      </c>
      <c r="J12" s="3">
        <f>Table3[[#This Row],['# UTD with 
Partial Religious Exemption]]/Table3[[#This Row],['# of Students]]</f>
        <v>0</v>
      </c>
    </row>
    <row r="13" spans="1:10" x14ac:dyDescent="0.25">
      <c r="A13" t="s">
        <v>12</v>
      </c>
      <c r="B13">
        <v>127</v>
      </c>
      <c r="C13">
        <v>0</v>
      </c>
      <c r="D13" s="3">
        <f>Table3[[#This Row],['# with Full 
Medical Exemption]]/Table3[[#This Row],['# of Students]]</f>
        <v>0</v>
      </c>
      <c r="E13">
        <v>0</v>
      </c>
      <c r="F13" s="3">
        <f>Table3[[#This Row],['# UTD with 
Partial Medical Exemption]]/Table3[[#This Row],['# of Students]]</f>
        <v>0</v>
      </c>
      <c r="G13">
        <v>1</v>
      </c>
      <c r="H13" s="3">
        <f>Table3[[#This Row],['# with Full 
Religous Exemption]]/Table3[[#This Row],['# of Students]]</f>
        <v>7.874015748031496E-3</v>
      </c>
      <c r="I13">
        <v>0</v>
      </c>
      <c r="J13" s="3">
        <f>Table3[[#This Row],['# UTD with 
Partial Religious Exemption]]/Table3[[#This Row],['# of Students]]</f>
        <v>0</v>
      </c>
    </row>
    <row r="14" spans="1:10" x14ac:dyDescent="0.25">
      <c r="A14" t="s">
        <v>13</v>
      </c>
      <c r="B14">
        <v>268</v>
      </c>
      <c r="C14">
        <v>0</v>
      </c>
      <c r="D14" s="3">
        <f>Table3[[#This Row],['# with Full 
Medical Exemption]]/Table3[[#This Row],['# of Students]]</f>
        <v>0</v>
      </c>
      <c r="E14">
        <v>0</v>
      </c>
      <c r="F14" s="3">
        <f>Table3[[#This Row],['# UTD with 
Partial Medical Exemption]]/Table3[[#This Row],['# of Students]]</f>
        <v>0</v>
      </c>
      <c r="G14">
        <v>0</v>
      </c>
      <c r="H14" s="3">
        <f>Table3[[#This Row],['# with Full 
Religous Exemption]]/Table3[[#This Row],['# of Students]]</f>
        <v>0</v>
      </c>
      <c r="I14">
        <v>0</v>
      </c>
      <c r="J14" s="3">
        <f>Table3[[#This Row],['# UTD with 
Partial Religious Exemption]]/Table3[[#This Row],['# of Students]]</f>
        <v>0</v>
      </c>
    </row>
    <row r="15" spans="1:10" x14ac:dyDescent="0.25">
      <c r="A15" t="s">
        <v>14</v>
      </c>
      <c r="B15">
        <v>183</v>
      </c>
      <c r="C15">
        <v>0</v>
      </c>
      <c r="D15" s="3">
        <f>Table3[[#This Row],['# with Full 
Medical Exemption]]/Table3[[#This Row],['# of Students]]</f>
        <v>0</v>
      </c>
      <c r="E15">
        <v>0</v>
      </c>
      <c r="F15" s="3">
        <f>Table3[[#This Row],['# UTD with 
Partial Medical Exemption]]/Table3[[#This Row],['# of Students]]</f>
        <v>0</v>
      </c>
      <c r="G15">
        <v>2</v>
      </c>
      <c r="H15" s="3">
        <f>Table3[[#This Row],['# with Full 
Religous Exemption]]/Table3[[#This Row],['# of Students]]</f>
        <v>1.092896174863388E-2</v>
      </c>
      <c r="I15">
        <v>0</v>
      </c>
      <c r="J15" s="3">
        <f>Table3[[#This Row],['# UTD with 
Partial Religious Exemption]]/Table3[[#This Row],['# of Students]]</f>
        <v>0</v>
      </c>
    </row>
    <row r="16" spans="1:10" x14ac:dyDescent="0.25">
      <c r="A16" t="s">
        <v>15</v>
      </c>
      <c r="B16">
        <v>195</v>
      </c>
      <c r="C16">
        <v>0</v>
      </c>
      <c r="D16" s="3">
        <f>Table3[[#This Row],['# with Full 
Medical Exemption]]/Table3[[#This Row],['# of Students]]</f>
        <v>0</v>
      </c>
      <c r="E16">
        <v>0</v>
      </c>
      <c r="F16" s="3">
        <f>Table3[[#This Row],['# UTD with 
Partial Medical Exemption]]/Table3[[#This Row],['# of Students]]</f>
        <v>0</v>
      </c>
      <c r="G16">
        <v>4</v>
      </c>
      <c r="H16" s="3">
        <f>Table3[[#This Row],['# with Full 
Religous Exemption]]/Table3[[#This Row],['# of Students]]</f>
        <v>2.0512820512820513E-2</v>
      </c>
      <c r="I16">
        <v>0</v>
      </c>
      <c r="J16" s="3">
        <f>Table3[[#This Row],['# UTD with 
Partial Religious Exemption]]/Table3[[#This Row],['# of Students]]</f>
        <v>0</v>
      </c>
    </row>
    <row r="17" spans="1:10" x14ac:dyDescent="0.25">
      <c r="A17" t="s">
        <v>16</v>
      </c>
      <c r="B17">
        <v>845</v>
      </c>
      <c r="C17">
        <v>0</v>
      </c>
      <c r="D17" s="3">
        <f>Table3[[#This Row],['# with Full 
Medical Exemption]]/Table3[[#This Row],['# of Students]]</f>
        <v>0</v>
      </c>
      <c r="E17">
        <v>0</v>
      </c>
      <c r="F17" s="3">
        <f>Table3[[#This Row],['# UTD with 
Partial Medical Exemption]]/Table3[[#This Row],['# of Students]]</f>
        <v>0</v>
      </c>
      <c r="G17">
        <v>8</v>
      </c>
      <c r="H17" s="3">
        <f>Table3[[#This Row],['# with Full 
Religous Exemption]]/Table3[[#This Row],['# of Students]]</f>
        <v>9.4674556213017753E-3</v>
      </c>
      <c r="I17">
        <v>0</v>
      </c>
      <c r="J17" s="3">
        <f>Table3[[#This Row],['# UTD with 
Partial Religious Exemption]]/Table3[[#This Row],['# of Students]]</f>
        <v>0</v>
      </c>
    </row>
    <row r="18" spans="1:10" x14ac:dyDescent="0.25">
      <c r="A18" t="s">
        <v>17</v>
      </c>
      <c r="B18">
        <v>674</v>
      </c>
      <c r="C18">
        <v>0</v>
      </c>
      <c r="D18" s="3">
        <f>Table3[[#This Row],['# with Full 
Medical Exemption]]/Table3[[#This Row],['# of Students]]</f>
        <v>0</v>
      </c>
      <c r="E18">
        <v>0</v>
      </c>
      <c r="F18" s="3">
        <f>Table3[[#This Row],['# UTD with 
Partial Medical Exemption]]/Table3[[#This Row],['# of Students]]</f>
        <v>0</v>
      </c>
      <c r="G18">
        <v>7</v>
      </c>
      <c r="H18" s="3">
        <f>Table3[[#This Row],['# with Full 
Religous Exemption]]/Table3[[#This Row],['# of Students]]</f>
        <v>1.0385756676557863E-2</v>
      </c>
      <c r="I18">
        <v>0</v>
      </c>
      <c r="J18" s="3">
        <f>Table3[[#This Row],['# UTD with 
Partial Religious Exemption]]/Table3[[#This Row],['# of Students]]</f>
        <v>0</v>
      </c>
    </row>
    <row r="19" spans="1:10" x14ac:dyDescent="0.25">
      <c r="A19" t="s">
        <v>18</v>
      </c>
      <c r="B19">
        <v>96</v>
      </c>
      <c r="C19">
        <v>0</v>
      </c>
      <c r="D19" s="3">
        <f>Table3[[#This Row],['# with Full 
Medical Exemption]]/Table3[[#This Row],['# of Students]]</f>
        <v>0</v>
      </c>
      <c r="E19">
        <v>0</v>
      </c>
      <c r="F19" s="3">
        <f>Table3[[#This Row],['# UTD with 
Partial Medical Exemption]]/Table3[[#This Row],['# of Students]]</f>
        <v>0</v>
      </c>
      <c r="G19">
        <v>2</v>
      </c>
      <c r="H19" s="3">
        <f>Table3[[#This Row],['# with Full 
Religous Exemption]]/Table3[[#This Row],['# of Students]]</f>
        <v>2.0833333333333332E-2</v>
      </c>
      <c r="I19">
        <v>0</v>
      </c>
      <c r="J19" s="3">
        <f>Table3[[#This Row],['# UTD with 
Partial Religious Exemption]]/Table3[[#This Row],['# of Students]]</f>
        <v>0</v>
      </c>
    </row>
    <row r="20" spans="1:10" x14ac:dyDescent="0.25">
      <c r="A20" t="s">
        <v>19</v>
      </c>
      <c r="B20">
        <v>78</v>
      </c>
      <c r="C20">
        <v>0</v>
      </c>
      <c r="D20" s="3">
        <f>Table3[[#This Row],['# with Full 
Medical Exemption]]/Table3[[#This Row],['# of Students]]</f>
        <v>0</v>
      </c>
      <c r="E20">
        <v>0</v>
      </c>
      <c r="F20" s="3">
        <f>Table3[[#This Row],['# UTD with 
Partial Medical Exemption]]/Table3[[#This Row],['# of Students]]</f>
        <v>0</v>
      </c>
      <c r="G20">
        <v>0</v>
      </c>
      <c r="H20" s="3">
        <f>Table3[[#This Row],['# with Full 
Religous Exemption]]/Table3[[#This Row],['# of Students]]</f>
        <v>0</v>
      </c>
      <c r="I20">
        <v>0</v>
      </c>
      <c r="J20" s="3">
        <f>Table3[[#This Row],['# UTD with 
Partial Religious Exemption]]/Table3[[#This Row],['# of Students]]</f>
        <v>0</v>
      </c>
    </row>
    <row r="21" spans="1:10" x14ac:dyDescent="0.25">
      <c r="A21" t="s">
        <v>20</v>
      </c>
      <c r="B21">
        <v>463</v>
      </c>
      <c r="C21">
        <v>1</v>
      </c>
      <c r="D21" s="3">
        <f>Table3[[#This Row],['# with Full 
Medical Exemption]]/Table3[[#This Row],['# of Students]]</f>
        <v>2.1598272138228943E-3</v>
      </c>
      <c r="E21">
        <v>1</v>
      </c>
      <c r="F21" s="3">
        <f>Table3[[#This Row],['# UTD with 
Partial Medical Exemption]]/Table3[[#This Row],['# of Students]]</f>
        <v>2.1598272138228943E-3</v>
      </c>
      <c r="G21">
        <v>6</v>
      </c>
      <c r="H21" s="3">
        <f>Table3[[#This Row],['# with Full 
Religous Exemption]]/Table3[[#This Row],['# of Students]]</f>
        <v>1.2958963282937365E-2</v>
      </c>
      <c r="I21">
        <v>0</v>
      </c>
      <c r="J21" s="3">
        <f>Table3[[#This Row],['# UTD with 
Partial Religious Exemption]]/Table3[[#This Row],['# of Students]]</f>
        <v>0</v>
      </c>
    </row>
    <row r="22" spans="1:10" x14ac:dyDescent="0.25">
      <c r="A22" t="s">
        <v>21</v>
      </c>
      <c r="B22">
        <v>194</v>
      </c>
      <c r="C22">
        <v>0</v>
      </c>
      <c r="D22" s="3">
        <f>Table3[[#This Row],['# with Full 
Medical Exemption]]/Table3[[#This Row],['# of Students]]</f>
        <v>0</v>
      </c>
      <c r="E22">
        <v>0</v>
      </c>
      <c r="F22" s="3">
        <f>Table3[[#This Row],['# UTD with 
Partial Medical Exemption]]/Table3[[#This Row],['# of Students]]</f>
        <v>0</v>
      </c>
      <c r="G22">
        <v>1</v>
      </c>
      <c r="H22" s="3">
        <f>Table3[[#This Row],['# with Full 
Religous Exemption]]/Table3[[#This Row],['# of Students]]</f>
        <v>5.1546391752577319E-3</v>
      </c>
      <c r="I22">
        <v>0</v>
      </c>
      <c r="J22" s="3">
        <f>Table3[[#This Row],['# UTD with 
Partial Religious Exemption]]/Table3[[#This Row],['# of Students]]</f>
        <v>0</v>
      </c>
    </row>
    <row r="23" spans="1:10" x14ac:dyDescent="0.25">
      <c r="A23" t="s">
        <v>22</v>
      </c>
      <c r="B23">
        <v>988</v>
      </c>
      <c r="C23">
        <v>3</v>
      </c>
      <c r="D23" s="3">
        <f>Table3[[#This Row],['# with Full 
Medical Exemption]]/Table3[[#This Row],['# of Students]]</f>
        <v>3.0364372469635628E-3</v>
      </c>
      <c r="E23">
        <v>1</v>
      </c>
      <c r="F23" s="3">
        <f>Table3[[#This Row],['# UTD with 
Partial Medical Exemption]]/Table3[[#This Row],['# of Students]]</f>
        <v>1.0121457489878543E-3</v>
      </c>
      <c r="G23">
        <v>23</v>
      </c>
      <c r="H23" s="3">
        <f>Table3[[#This Row],['# with Full 
Religous Exemption]]/Table3[[#This Row],['# of Students]]</f>
        <v>2.3279352226720649E-2</v>
      </c>
      <c r="I23">
        <v>0</v>
      </c>
      <c r="J23" s="3">
        <f>Table3[[#This Row],['# UTD with 
Partial Religious Exemption]]/Table3[[#This Row],['# of Students]]</f>
        <v>0</v>
      </c>
    </row>
    <row r="24" spans="1:10" x14ac:dyDescent="0.25">
      <c r="A24" t="s">
        <v>23</v>
      </c>
      <c r="B24">
        <v>509</v>
      </c>
      <c r="C24">
        <v>1</v>
      </c>
      <c r="D24" s="3">
        <f>Table3[[#This Row],['# with Full 
Medical Exemption]]/Table3[[#This Row],['# of Students]]</f>
        <v>1.9646365422396855E-3</v>
      </c>
      <c r="E24">
        <v>0</v>
      </c>
      <c r="F24" s="3">
        <f>Table3[[#This Row],['# UTD with 
Partial Medical Exemption]]/Table3[[#This Row],['# of Students]]</f>
        <v>0</v>
      </c>
      <c r="G24">
        <v>10</v>
      </c>
      <c r="H24" s="3">
        <f>Table3[[#This Row],['# with Full 
Religous Exemption]]/Table3[[#This Row],['# of Students]]</f>
        <v>1.9646365422396856E-2</v>
      </c>
      <c r="I24">
        <v>1</v>
      </c>
      <c r="J24" s="3">
        <f>Table3[[#This Row],['# UTD with 
Partial Religious Exemption]]/Table3[[#This Row],['# of Students]]</f>
        <v>1.9646365422396855E-3</v>
      </c>
    </row>
    <row r="25" spans="1:10" x14ac:dyDescent="0.25">
      <c r="A25" t="s">
        <v>24</v>
      </c>
      <c r="B25">
        <v>448</v>
      </c>
      <c r="C25">
        <v>0</v>
      </c>
      <c r="D25" s="3">
        <f>Table3[[#This Row],['# with Full 
Medical Exemption]]/Table3[[#This Row],['# of Students]]</f>
        <v>0</v>
      </c>
      <c r="E25">
        <v>0</v>
      </c>
      <c r="F25" s="3">
        <f>Table3[[#This Row],['# UTD with 
Partial Medical Exemption]]/Table3[[#This Row],['# of Students]]</f>
        <v>0</v>
      </c>
      <c r="G25">
        <v>2</v>
      </c>
      <c r="H25" s="3">
        <f>Table3[[#This Row],['# with Full 
Religous Exemption]]/Table3[[#This Row],['# of Students]]</f>
        <v>4.464285714285714E-3</v>
      </c>
      <c r="I25">
        <v>0</v>
      </c>
      <c r="J25" s="3">
        <f>Table3[[#This Row],['# UTD with 
Partial Religious Exemption]]/Table3[[#This Row],['# of Students]]</f>
        <v>0</v>
      </c>
    </row>
    <row r="26" spans="1:10" x14ac:dyDescent="0.25">
      <c r="A26" t="s">
        <v>25</v>
      </c>
      <c r="B26">
        <v>962</v>
      </c>
      <c r="C26">
        <v>0</v>
      </c>
      <c r="D26" s="3">
        <f>Table3[[#This Row],['# with Full 
Medical Exemption]]/Table3[[#This Row],['# of Students]]</f>
        <v>0</v>
      </c>
      <c r="E26">
        <v>1</v>
      </c>
      <c r="F26" s="3">
        <f>Table3[[#This Row],['# UTD with 
Partial Medical Exemption]]/Table3[[#This Row],['# of Students]]</f>
        <v>1.0395010395010396E-3</v>
      </c>
      <c r="G26">
        <v>8</v>
      </c>
      <c r="H26" s="3">
        <f>Table3[[#This Row],['# with Full 
Religous Exemption]]/Table3[[#This Row],['# of Students]]</f>
        <v>8.3160083160083165E-3</v>
      </c>
      <c r="I26">
        <v>0</v>
      </c>
      <c r="J26" s="3">
        <f>Table3[[#This Row],['# UTD with 
Partial Religious Exemption]]/Table3[[#This Row],['# of Students]]</f>
        <v>0</v>
      </c>
    </row>
    <row r="27" spans="1:10" x14ac:dyDescent="0.25">
      <c r="A27" t="s">
        <v>26</v>
      </c>
      <c r="B27">
        <v>1157</v>
      </c>
      <c r="C27">
        <v>0</v>
      </c>
      <c r="D27" s="3">
        <f>Table3[[#This Row],['# with Full 
Medical Exemption]]/Table3[[#This Row],['# of Students]]</f>
        <v>0</v>
      </c>
      <c r="E27">
        <v>2</v>
      </c>
      <c r="F27" s="3">
        <f>Table3[[#This Row],['# UTD with 
Partial Medical Exemption]]/Table3[[#This Row],['# of Students]]</f>
        <v>1.7286084701815039E-3</v>
      </c>
      <c r="G27">
        <v>10</v>
      </c>
      <c r="H27" s="3">
        <f>Table3[[#This Row],['# with Full 
Religous Exemption]]/Table3[[#This Row],['# of Students]]</f>
        <v>8.6430423509075201E-3</v>
      </c>
      <c r="I27">
        <v>0</v>
      </c>
      <c r="J27" s="3">
        <f>Table3[[#This Row],['# UTD with 
Partial Religious Exemption]]/Table3[[#This Row],['# of Students]]</f>
        <v>0</v>
      </c>
    </row>
    <row r="28" spans="1:10" x14ac:dyDescent="0.25">
      <c r="A28" t="s">
        <v>27</v>
      </c>
      <c r="B28">
        <v>489</v>
      </c>
      <c r="C28">
        <v>1</v>
      </c>
      <c r="D28" s="3">
        <f>Table3[[#This Row],['# with Full 
Medical Exemption]]/Table3[[#This Row],['# of Students]]</f>
        <v>2.0449897750511249E-3</v>
      </c>
      <c r="E28">
        <v>0</v>
      </c>
      <c r="F28" s="3">
        <f>Table3[[#This Row],['# UTD with 
Partial Medical Exemption]]/Table3[[#This Row],['# of Students]]</f>
        <v>0</v>
      </c>
      <c r="G28">
        <v>3</v>
      </c>
      <c r="H28" s="3">
        <f>Table3[[#This Row],['# with Full 
Religous Exemption]]/Table3[[#This Row],['# of Students]]</f>
        <v>6.1349693251533744E-3</v>
      </c>
      <c r="I28">
        <v>0</v>
      </c>
      <c r="J28" s="3">
        <f>Table3[[#This Row],['# UTD with 
Partial Religious Exemption]]/Table3[[#This Row],['# of Students]]</f>
        <v>0</v>
      </c>
    </row>
    <row r="29" spans="1:10" x14ac:dyDescent="0.25">
      <c r="A29" t="s">
        <v>28</v>
      </c>
      <c r="B29">
        <v>1228</v>
      </c>
      <c r="C29">
        <v>1</v>
      </c>
      <c r="D29" s="3">
        <f>Table3[[#This Row],['# with Full 
Medical Exemption]]/Table3[[#This Row],['# of Students]]</f>
        <v>8.1433224755700329E-4</v>
      </c>
      <c r="E29">
        <v>0</v>
      </c>
      <c r="F29" s="3">
        <f>Table3[[#This Row],['# UTD with 
Partial Medical Exemption]]/Table3[[#This Row],['# of Students]]</f>
        <v>0</v>
      </c>
      <c r="G29">
        <v>14</v>
      </c>
      <c r="H29" s="3">
        <f>Table3[[#This Row],['# with Full 
Religous Exemption]]/Table3[[#This Row],['# of Students]]</f>
        <v>1.1400651465798045E-2</v>
      </c>
      <c r="I29">
        <v>0</v>
      </c>
      <c r="J29" s="3">
        <f>Table3[[#This Row],['# UTD with 
Partial Religious Exemption]]/Table3[[#This Row],['# of Students]]</f>
        <v>0</v>
      </c>
    </row>
    <row r="30" spans="1:10" x14ac:dyDescent="0.25">
      <c r="A30" t="s">
        <v>29</v>
      </c>
      <c r="B30">
        <v>154</v>
      </c>
      <c r="C30">
        <v>0</v>
      </c>
      <c r="D30" s="3">
        <f>Table3[[#This Row],['# with Full 
Medical Exemption]]/Table3[[#This Row],['# of Students]]</f>
        <v>0</v>
      </c>
      <c r="E30">
        <v>0</v>
      </c>
      <c r="F30" s="3">
        <f>Table3[[#This Row],['# UTD with 
Partial Medical Exemption]]/Table3[[#This Row],['# of Students]]</f>
        <v>0</v>
      </c>
      <c r="G30">
        <v>0</v>
      </c>
      <c r="H30" s="3">
        <f>Table3[[#This Row],['# with Full 
Religous Exemption]]/Table3[[#This Row],['# of Students]]</f>
        <v>0</v>
      </c>
      <c r="I30">
        <v>0</v>
      </c>
      <c r="J30" s="3">
        <f>Table3[[#This Row],['# UTD with 
Partial Religious Exemption]]/Table3[[#This Row],['# of Students]]</f>
        <v>0</v>
      </c>
    </row>
    <row r="31" spans="1:10" x14ac:dyDescent="0.25">
      <c r="A31" t="s">
        <v>30</v>
      </c>
      <c r="B31">
        <v>445</v>
      </c>
      <c r="C31">
        <v>0</v>
      </c>
      <c r="D31" s="3">
        <f>Table3[[#This Row],['# with Full 
Medical Exemption]]/Table3[[#This Row],['# of Students]]</f>
        <v>0</v>
      </c>
      <c r="E31">
        <v>0</v>
      </c>
      <c r="F31" s="3">
        <f>Table3[[#This Row],['# UTD with 
Partial Medical Exemption]]/Table3[[#This Row],['# of Students]]</f>
        <v>0</v>
      </c>
      <c r="G31">
        <v>1</v>
      </c>
      <c r="H31" s="3">
        <f>Table3[[#This Row],['# with Full 
Religous Exemption]]/Table3[[#This Row],['# of Students]]</f>
        <v>2.2471910112359553E-3</v>
      </c>
      <c r="I31">
        <v>0</v>
      </c>
      <c r="J31" s="3">
        <f>Table3[[#This Row],['# UTD with 
Partial Religious Exemption]]/Table3[[#This Row],['# of Students]]</f>
        <v>0</v>
      </c>
    </row>
    <row r="32" spans="1:10" x14ac:dyDescent="0.25">
      <c r="A32" t="s">
        <v>31</v>
      </c>
      <c r="B32">
        <v>304</v>
      </c>
      <c r="C32">
        <v>1</v>
      </c>
      <c r="D32" s="3">
        <f>Table3[[#This Row],['# with Full 
Medical Exemption]]/Table3[[#This Row],['# of Students]]</f>
        <v>3.2894736842105261E-3</v>
      </c>
      <c r="E32">
        <v>0</v>
      </c>
      <c r="F32" s="3">
        <f>Table3[[#This Row],['# UTD with 
Partial Medical Exemption]]/Table3[[#This Row],['# of Students]]</f>
        <v>0</v>
      </c>
      <c r="G32">
        <v>2</v>
      </c>
      <c r="H32" s="3">
        <f>Table3[[#This Row],['# with Full 
Religous Exemption]]/Table3[[#This Row],['# of Students]]</f>
        <v>6.5789473684210523E-3</v>
      </c>
      <c r="I32">
        <v>0</v>
      </c>
      <c r="J32" s="3">
        <f>Table3[[#This Row],['# UTD with 
Partial Religious Exemption]]/Table3[[#This Row],['# of Students]]</f>
        <v>0</v>
      </c>
    </row>
    <row r="33" spans="1:10" x14ac:dyDescent="0.25">
      <c r="A33" t="s">
        <v>32</v>
      </c>
      <c r="B33">
        <v>77</v>
      </c>
      <c r="C33">
        <v>0</v>
      </c>
      <c r="D33" s="3">
        <f>Table3[[#This Row],['# with Full 
Medical Exemption]]/Table3[[#This Row],['# of Students]]</f>
        <v>0</v>
      </c>
      <c r="E33">
        <v>0</v>
      </c>
      <c r="F33" s="3">
        <f>Table3[[#This Row],['# UTD with 
Partial Medical Exemption]]/Table3[[#This Row],['# of Students]]</f>
        <v>0</v>
      </c>
      <c r="G33">
        <v>0</v>
      </c>
      <c r="H33" s="3">
        <f>Table3[[#This Row],['# with Full 
Religous Exemption]]/Table3[[#This Row],['# of Students]]</f>
        <v>0</v>
      </c>
      <c r="I33">
        <v>0</v>
      </c>
      <c r="J33" s="3">
        <f>Table3[[#This Row],['# UTD with 
Partial Religious Exemption]]/Table3[[#This Row],['# of Students]]</f>
        <v>0</v>
      </c>
    </row>
    <row r="34" spans="1:10" x14ac:dyDescent="0.25">
      <c r="A34" t="s">
        <v>33</v>
      </c>
      <c r="B34">
        <v>191</v>
      </c>
      <c r="C34">
        <v>0</v>
      </c>
      <c r="D34" s="3">
        <f>Table3[[#This Row],['# with Full 
Medical Exemption]]/Table3[[#This Row],['# of Students]]</f>
        <v>0</v>
      </c>
      <c r="E34">
        <v>0</v>
      </c>
      <c r="F34" s="3">
        <f>Table3[[#This Row],['# UTD with 
Partial Medical Exemption]]/Table3[[#This Row],['# of Students]]</f>
        <v>0</v>
      </c>
      <c r="G34">
        <v>1</v>
      </c>
      <c r="H34" s="3">
        <f>Table3[[#This Row],['# with Full 
Religous Exemption]]/Table3[[#This Row],['# of Students]]</f>
        <v>5.235602094240838E-3</v>
      </c>
      <c r="I34">
        <v>0</v>
      </c>
      <c r="J34" s="3">
        <f>Table3[[#This Row],['# UTD with 
Partial Religious Exemption]]/Table3[[#This Row],['# of Students]]</f>
        <v>0</v>
      </c>
    </row>
    <row r="35" spans="1:10" x14ac:dyDescent="0.25">
      <c r="A35" t="s">
        <v>34</v>
      </c>
      <c r="B35">
        <v>211</v>
      </c>
      <c r="C35">
        <v>1</v>
      </c>
      <c r="D35" s="3">
        <f>Table3[[#This Row],['# with Full 
Medical Exemption]]/Table3[[#This Row],['# of Students]]</f>
        <v>4.7393364928909956E-3</v>
      </c>
      <c r="E35">
        <v>2</v>
      </c>
      <c r="F35" s="3">
        <f>Table3[[#This Row],['# UTD with 
Partial Medical Exemption]]/Table3[[#This Row],['# of Students]]</f>
        <v>9.4786729857819912E-3</v>
      </c>
      <c r="G35">
        <v>3</v>
      </c>
      <c r="H35" s="3">
        <f>Table3[[#This Row],['# with Full 
Religous Exemption]]/Table3[[#This Row],['# of Students]]</f>
        <v>1.4218009478672985E-2</v>
      </c>
      <c r="I35">
        <v>0</v>
      </c>
      <c r="J35" s="3">
        <f>Table3[[#This Row],['# UTD with 
Partial Religious Exemption]]/Table3[[#This Row],['# of Students]]</f>
        <v>0</v>
      </c>
    </row>
    <row r="36" spans="1:10" x14ac:dyDescent="0.25">
      <c r="A36" t="s">
        <v>35</v>
      </c>
      <c r="B36">
        <v>1394</v>
      </c>
      <c r="C36">
        <v>1</v>
      </c>
      <c r="D36" s="3">
        <f>Table3[[#This Row],['# with Full 
Medical Exemption]]/Table3[[#This Row],['# of Students]]</f>
        <v>7.173601147776184E-4</v>
      </c>
      <c r="E36">
        <v>0</v>
      </c>
      <c r="F36" s="3">
        <f>Table3[[#This Row],['# UTD with 
Partial Medical Exemption]]/Table3[[#This Row],['# of Students]]</f>
        <v>0</v>
      </c>
      <c r="G36">
        <v>3</v>
      </c>
      <c r="H36" s="3">
        <f>Table3[[#This Row],['# with Full 
Religous Exemption]]/Table3[[#This Row],['# of Students]]</f>
        <v>2.152080344332855E-3</v>
      </c>
      <c r="I36">
        <v>2</v>
      </c>
      <c r="J36" s="3">
        <f>Table3[[#This Row],['# UTD with 
Partial Religious Exemption]]/Table3[[#This Row],['# of Students]]</f>
        <v>1.4347202295552368E-3</v>
      </c>
    </row>
    <row r="37" spans="1:10" x14ac:dyDescent="0.25">
      <c r="A37" t="s">
        <v>36</v>
      </c>
      <c r="B37">
        <v>556</v>
      </c>
      <c r="C37">
        <v>0</v>
      </c>
      <c r="D37" s="3">
        <f>Table3[[#This Row],['# with Full 
Medical Exemption]]/Table3[[#This Row],['# of Students]]</f>
        <v>0</v>
      </c>
      <c r="E37">
        <v>1</v>
      </c>
      <c r="F37" s="3">
        <f>Table3[[#This Row],['# UTD with 
Partial Medical Exemption]]/Table3[[#This Row],['# of Students]]</f>
        <v>1.7985611510791368E-3</v>
      </c>
      <c r="G37">
        <v>9</v>
      </c>
      <c r="H37" s="3">
        <f>Table3[[#This Row],['# with Full 
Religous Exemption]]/Table3[[#This Row],['# of Students]]</f>
        <v>1.618705035971223E-2</v>
      </c>
      <c r="I37">
        <v>0</v>
      </c>
      <c r="J37" s="3">
        <f>Table3[[#This Row],['# UTD with 
Partial Religious Exemption]]/Table3[[#This Row],['# of Students]]</f>
        <v>0</v>
      </c>
    </row>
    <row r="38" spans="1:10" x14ac:dyDescent="0.25">
      <c r="A38" t="s">
        <v>37</v>
      </c>
      <c r="B38">
        <v>7686</v>
      </c>
      <c r="C38">
        <v>6</v>
      </c>
      <c r="D38" s="3">
        <f>Table3[[#This Row],['# with Full 
Medical Exemption]]/Table3[[#This Row],['# of Students]]</f>
        <v>7.8064012490241998E-4</v>
      </c>
      <c r="E38">
        <v>5</v>
      </c>
      <c r="F38" s="3">
        <f>Table3[[#This Row],['# UTD with 
Partial Medical Exemption]]/Table3[[#This Row],['# of Students]]</f>
        <v>6.5053343741868332E-4</v>
      </c>
      <c r="G38">
        <v>62</v>
      </c>
      <c r="H38" s="3">
        <f>Table3[[#This Row],['# with Full 
Religous Exemption]]/Table3[[#This Row],['# of Students]]</f>
        <v>8.066614623991674E-3</v>
      </c>
      <c r="I38">
        <v>0</v>
      </c>
      <c r="J38" s="3">
        <f>Table3[[#This Row],['# UTD with 
Partial Religious Exemption]]/Table3[[#This Row],['# of Students]]</f>
        <v>0</v>
      </c>
    </row>
    <row r="39" spans="1:10" x14ac:dyDescent="0.25">
      <c r="A39" t="s">
        <v>38</v>
      </c>
      <c r="B39">
        <v>167</v>
      </c>
      <c r="C39">
        <v>0</v>
      </c>
      <c r="D39" s="3">
        <f>Table3[[#This Row],['# with Full 
Medical Exemption]]/Table3[[#This Row],['# of Students]]</f>
        <v>0</v>
      </c>
      <c r="E39">
        <v>0</v>
      </c>
      <c r="F39" s="3">
        <f>Table3[[#This Row],['# UTD with 
Partial Medical Exemption]]/Table3[[#This Row],['# of Students]]</f>
        <v>0</v>
      </c>
      <c r="G39">
        <v>1</v>
      </c>
      <c r="H39" s="3">
        <f>Table3[[#This Row],['# with Full 
Religous Exemption]]/Table3[[#This Row],['# of Students]]</f>
        <v>5.9880239520958087E-3</v>
      </c>
      <c r="I39">
        <v>0</v>
      </c>
      <c r="J39" s="3">
        <f>Table3[[#This Row],['# UTD with 
Partial Religious Exemption]]/Table3[[#This Row],['# of Students]]</f>
        <v>0</v>
      </c>
    </row>
    <row r="40" spans="1:10" x14ac:dyDescent="0.25">
      <c r="A40" t="s">
        <v>39</v>
      </c>
      <c r="B40">
        <v>991</v>
      </c>
      <c r="C40">
        <v>1</v>
      </c>
      <c r="D40" s="3">
        <f>Table3[[#This Row],['# with Full 
Medical Exemption]]/Table3[[#This Row],['# of Students]]</f>
        <v>1.0090817356205853E-3</v>
      </c>
      <c r="E40">
        <v>1</v>
      </c>
      <c r="F40" s="3">
        <f>Table3[[#This Row],['# UTD with 
Partial Medical Exemption]]/Table3[[#This Row],['# of Students]]</f>
        <v>1.0090817356205853E-3</v>
      </c>
      <c r="G40">
        <v>13</v>
      </c>
      <c r="H40" s="3">
        <f>Table3[[#This Row],['# with Full 
Religous Exemption]]/Table3[[#This Row],['# of Students]]</f>
        <v>1.3118062563067608E-2</v>
      </c>
      <c r="I40">
        <v>0</v>
      </c>
      <c r="J40" s="3">
        <f>Table3[[#This Row],['# UTD with 
Partial Religious Exemption]]/Table3[[#This Row],['# of Students]]</f>
        <v>0</v>
      </c>
    </row>
    <row r="41" spans="1:10" x14ac:dyDescent="0.25">
      <c r="A41" t="s">
        <v>40</v>
      </c>
      <c r="B41">
        <v>334</v>
      </c>
      <c r="C41">
        <v>0</v>
      </c>
      <c r="D41" s="3">
        <f>Table3[[#This Row],['# with Full 
Medical Exemption]]/Table3[[#This Row],['# of Students]]</f>
        <v>0</v>
      </c>
      <c r="E41">
        <v>0</v>
      </c>
      <c r="F41" s="3">
        <f>Table3[[#This Row],['# UTD with 
Partial Medical Exemption]]/Table3[[#This Row],['# of Students]]</f>
        <v>0</v>
      </c>
      <c r="G41">
        <v>2</v>
      </c>
      <c r="H41" s="3">
        <f>Table3[[#This Row],['# with Full 
Religous Exemption]]/Table3[[#This Row],['# of Students]]</f>
        <v>5.9880239520958087E-3</v>
      </c>
      <c r="I41">
        <v>0</v>
      </c>
      <c r="J41" s="3">
        <f>Table3[[#This Row],['# UTD with 
Partial Religious Exemption]]/Table3[[#This Row],['# of Students]]</f>
        <v>0</v>
      </c>
    </row>
    <row r="42" spans="1:10" x14ac:dyDescent="0.25">
      <c r="A42" t="s">
        <v>41</v>
      </c>
      <c r="B42">
        <v>2069</v>
      </c>
      <c r="C42">
        <v>0</v>
      </c>
      <c r="D42" s="3">
        <f>Table3[[#This Row],['# with Full 
Medical Exemption]]/Table3[[#This Row],['# of Students]]</f>
        <v>0</v>
      </c>
      <c r="E42">
        <v>1</v>
      </c>
      <c r="F42" s="3">
        <f>Table3[[#This Row],['# UTD with 
Partial Medical Exemption]]/Table3[[#This Row],['# of Students]]</f>
        <v>4.833252779120348E-4</v>
      </c>
      <c r="G42">
        <v>23</v>
      </c>
      <c r="H42" s="3">
        <f>Table3[[#This Row],['# with Full 
Religous Exemption]]/Table3[[#This Row],['# of Students]]</f>
        <v>1.1116481391976801E-2</v>
      </c>
      <c r="I42">
        <v>0</v>
      </c>
      <c r="J42" s="3">
        <f>Table3[[#This Row],['# UTD with 
Partial Religious Exemption]]/Table3[[#This Row],['# of Students]]</f>
        <v>0</v>
      </c>
    </row>
    <row r="43" spans="1:10" x14ac:dyDescent="0.25">
      <c r="A43" t="s">
        <v>42</v>
      </c>
      <c r="B43">
        <v>1654</v>
      </c>
      <c r="C43">
        <v>3</v>
      </c>
      <c r="D43" s="3">
        <f>Table3[[#This Row],['# with Full 
Medical Exemption]]/Table3[[#This Row],['# of Students]]</f>
        <v>1.8137847642079807E-3</v>
      </c>
      <c r="E43">
        <v>2</v>
      </c>
      <c r="F43" s="3">
        <f>Table3[[#This Row],['# UTD with 
Partial Medical Exemption]]/Table3[[#This Row],['# of Students]]</f>
        <v>1.2091898428053204E-3</v>
      </c>
      <c r="G43">
        <v>27</v>
      </c>
      <c r="H43" s="3">
        <f>Table3[[#This Row],['# with Full 
Religous Exemption]]/Table3[[#This Row],['# of Students]]</f>
        <v>1.6324062877871828E-2</v>
      </c>
      <c r="I43">
        <v>0</v>
      </c>
      <c r="J43" s="3">
        <f>Table3[[#This Row],['# UTD with 
Partial Religious Exemption]]/Table3[[#This Row],['# of Students]]</f>
        <v>0</v>
      </c>
    </row>
    <row r="44" spans="1:10" x14ac:dyDescent="0.25">
      <c r="A44" t="s">
        <v>43</v>
      </c>
      <c r="B44">
        <v>141</v>
      </c>
      <c r="C44">
        <v>0</v>
      </c>
      <c r="D44" s="3">
        <f>Table3[[#This Row],['# with Full 
Medical Exemption]]/Table3[[#This Row],['# of Students]]</f>
        <v>0</v>
      </c>
      <c r="E44">
        <v>0</v>
      </c>
      <c r="F44" s="3">
        <f>Table3[[#This Row],['# UTD with 
Partial Medical Exemption]]/Table3[[#This Row],['# of Students]]</f>
        <v>0</v>
      </c>
      <c r="G44">
        <v>1</v>
      </c>
      <c r="H44" s="3">
        <f>Table3[[#This Row],['# with Full 
Religous Exemption]]/Table3[[#This Row],['# of Students]]</f>
        <v>7.0921985815602835E-3</v>
      </c>
      <c r="I44">
        <v>0</v>
      </c>
      <c r="J44" s="3">
        <f>Table3[[#This Row],['# UTD with 
Partial Religious Exemption]]/Table3[[#This Row],['# of Students]]</f>
        <v>0</v>
      </c>
    </row>
    <row r="45" spans="1:10" x14ac:dyDescent="0.25">
      <c r="A45" t="s">
        <v>44</v>
      </c>
      <c r="B45">
        <v>151</v>
      </c>
      <c r="C45">
        <v>0</v>
      </c>
      <c r="D45" s="3">
        <f>Table3[[#This Row],['# with Full 
Medical Exemption]]/Table3[[#This Row],['# of Students]]</f>
        <v>0</v>
      </c>
      <c r="E45">
        <v>0</v>
      </c>
      <c r="F45" s="3">
        <f>Table3[[#This Row],['# UTD with 
Partial Medical Exemption]]/Table3[[#This Row],['# of Students]]</f>
        <v>0</v>
      </c>
      <c r="G45">
        <v>1</v>
      </c>
      <c r="H45" s="3">
        <f>Table3[[#This Row],['# with Full 
Religous Exemption]]/Table3[[#This Row],['# of Students]]</f>
        <v>6.6225165562913907E-3</v>
      </c>
      <c r="I45">
        <v>0</v>
      </c>
      <c r="J45" s="3">
        <f>Table3[[#This Row],['# UTD with 
Partial Religious Exemption]]/Table3[[#This Row],['# of Students]]</f>
        <v>0</v>
      </c>
    </row>
    <row r="46" spans="1:10" x14ac:dyDescent="0.25">
      <c r="A46" t="s">
        <v>45</v>
      </c>
      <c r="B46">
        <v>4688</v>
      </c>
      <c r="C46">
        <v>2</v>
      </c>
      <c r="D46" s="3">
        <f>Table3[[#This Row],['# with Full 
Medical Exemption]]/Table3[[#This Row],['# of Students]]</f>
        <v>4.2662116040955632E-4</v>
      </c>
      <c r="E46">
        <v>0</v>
      </c>
      <c r="F46" s="3">
        <f>Table3[[#This Row],['# UTD with 
Partial Medical Exemption]]/Table3[[#This Row],['# of Students]]</f>
        <v>0</v>
      </c>
      <c r="G46">
        <v>40</v>
      </c>
      <c r="H46" s="3">
        <f>Table3[[#This Row],['# with Full 
Religous Exemption]]/Table3[[#This Row],['# of Students]]</f>
        <v>8.5324232081911266E-3</v>
      </c>
      <c r="I46">
        <v>0</v>
      </c>
      <c r="J46" s="3">
        <f>Table3[[#This Row],['# UTD with 
Partial Religious Exemption]]/Table3[[#This Row],['# of Students]]</f>
        <v>0</v>
      </c>
    </row>
    <row r="47" spans="1:10" x14ac:dyDescent="0.25">
      <c r="A47" t="s">
        <v>46</v>
      </c>
      <c r="B47">
        <v>261</v>
      </c>
      <c r="C47">
        <v>0</v>
      </c>
      <c r="D47" s="3">
        <f>Table3[[#This Row],['# with Full 
Medical Exemption]]/Table3[[#This Row],['# of Students]]</f>
        <v>0</v>
      </c>
      <c r="E47">
        <v>0</v>
      </c>
      <c r="F47" s="3">
        <f>Table3[[#This Row],['# UTD with 
Partial Medical Exemption]]/Table3[[#This Row],['# of Students]]</f>
        <v>0</v>
      </c>
      <c r="G47">
        <v>5</v>
      </c>
      <c r="H47" s="3">
        <f>Table3[[#This Row],['# with Full 
Religous Exemption]]/Table3[[#This Row],['# of Students]]</f>
        <v>1.9157088122605363E-2</v>
      </c>
      <c r="I47">
        <v>0</v>
      </c>
      <c r="J47" s="3">
        <f>Table3[[#This Row],['# UTD with 
Partial Religious Exemption]]/Table3[[#This Row],['# of Students]]</f>
        <v>0</v>
      </c>
    </row>
    <row r="48" spans="1:10" x14ac:dyDescent="0.25">
      <c r="A48" t="s">
        <v>47</v>
      </c>
      <c r="B48">
        <v>365</v>
      </c>
      <c r="C48">
        <v>0</v>
      </c>
      <c r="D48" s="3">
        <f>Table3[[#This Row],['# with Full 
Medical Exemption]]/Table3[[#This Row],['# of Students]]</f>
        <v>0</v>
      </c>
      <c r="E48">
        <v>0</v>
      </c>
      <c r="F48" s="3">
        <f>Table3[[#This Row],['# UTD with 
Partial Medical Exemption]]/Table3[[#This Row],['# of Students]]</f>
        <v>0</v>
      </c>
      <c r="G48">
        <v>8</v>
      </c>
      <c r="H48" s="3">
        <f>Table3[[#This Row],['# with Full 
Religous Exemption]]/Table3[[#This Row],['# of Students]]</f>
        <v>2.1917808219178082E-2</v>
      </c>
      <c r="I48">
        <v>0</v>
      </c>
      <c r="J48" s="3">
        <f>Table3[[#This Row],['# UTD with 
Partial Religious Exemption]]/Table3[[#This Row],['# of Students]]</f>
        <v>0</v>
      </c>
    </row>
    <row r="49" spans="1:10" x14ac:dyDescent="0.25">
      <c r="A49" t="s">
        <v>48</v>
      </c>
      <c r="B49">
        <v>1390</v>
      </c>
      <c r="C49">
        <v>0</v>
      </c>
      <c r="D49" s="3">
        <f>Table3[[#This Row],['# with Full 
Medical Exemption]]/Table3[[#This Row],['# of Students]]</f>
        <v>0</v>
      </c>
      <c r="E49">
        <v>1</v>
      </c>
      <c r="F49" s="3">
        <f>Table3[[#This Row],['# UTD with 
Partial Medical Exemption]]/Table3[[#This Row],['# of Students]]</f>
        <v>7.1942446043165469E-4</v>
      </c>
      <c r="G49">
        <v>15</v>
      </c>
      <c r="H49" s="3">
        <f>Table3[[#This Row],['# with Full 
Religous Exemption]]/Table3[[#This Row],['# of Students]]</f>
        <v>1.0791366906474821E-2</v>
      </c>
      <c r="I49">
        <v>0</v>
      </c>
      <c r="J49" s="3">
        <f>Table3[[#This Row],['# UTD with 
Partial Religious Exemption]]/Table3[[#This Row],['# of Students]]</f>
        <v>0</v>
      </c>
    </row>
    <row r="50" spans="1:10" x14ac:dyDescent="0.25">
      <c r="A50" t="s">
        <v>49</v>
      </c>
      <c r="B50">
        <v>5232</v>
      </c>
      <c r="C50">
        <v>2</v>
      </c>
      <c r="D50" s="3">
        <f>Table3[[#This Row],['# with Full 
Medical Exemption]]/Table3[[#This Row],['# of Students]]</f>
        <v>3.8226299694189603E-4</v>
      </c>
      <c r="E50">
        <v>0</v>
      </c>
      <c r="F50" s="3">
        <f>Table3[[#This Row],['# UTD with 
Partial Medical Exemption]]/Table3[[#This Row],['# of Students]]</f>
        <v>0</v>
      </c>
      <c r="G50">
        <v>89</v>
      </c>
      <c r="H50" s="3">
        <f>Table3[[#This Row],['# with Full 
Religous Exemption]]/Table3[[#This Row],['# of Students]]</f>
        <v>1.7010703363914373E-2</v>
      </c>
      <c r="I50">
        <v>0</v>
      </c>
      <c r="J50" s="3">
        <f>Table3[[#This Row],['# UTD with 
Partial Religious Exemption]]/Table3[[#This Row],['# of Students]]</f>
        <v>0</v>
      </c>
    </row>
    <row r="51" spans="1:10" x14ac:dyDescent="0.25">
      <c r="A51" t="s">
        <v>50</v>
      </c>
      <c r="B51">
        <v>268</v>
      </c>
      <c r="C51">
        <v>0</v>
      </c>
      <c r="D51" s="3">
        <f>Table3[[#This Row],['# with Full 
Medical Exemption]]/Table3[[#This Row],['# of Students]]</f>
        <v>0</v>
      </c>
      <c r="E51">
        <v>1</v>
      </c>
      <c r="F51" s="3">
        <f>Table3[[#This Row],['# UTD with 
Partial Medical Exemption]]/Table3[[#This Row],['# of Students]]</f>
        <v>3.7313432835820895E-3</v>
      </c>
      <c r="G51">
        <v>4</v>
      </c>
      <c r="H51" s="3">
        <f>Table3[[#This Row],['# with Full 
Religous Exemption]]/Table3[[#This Row],['# of Students]]</f>
        <v>1.4925373134328358E-2</v>
      </c>
      <c r="I51">
        <v>0</v>
      </c>
      <c r="J51" s="3">
        <f>Table3[[#This Row],['# UTD with 
Partial Religious Exemption]]/Table3[[#This Row],['# of Students]]</f>
        <v>0</v>
      </c>
    </row>
    <row r="52" spans="1:10" x14ac:dyDescent="0.25">
      <c r="A52" t="s">
        <v>51</v>
      </c>
      <c r="B52">
        <v>2718</v>
      </c>
      <c r="C52">
        <v>0</v>
      </c>
      <c r="D52" s="3">
        <f>Table3[[#This Row],['# with Full 
Medical Exemption]]/Table3[[#This Row],['# of Students]]</f>
        <v>0</v>
      </c>
      <c r="E52">
        <v>2</v>
      </c>
      <c r="F52" s="3">
        <f>Table3[[#This Row],['# UTD with 
Partial Medical Exemption]]/Table3[[#This Row],['# of Students]]</f>
        <v>7.3583517292126564E-4</v>
      </c>
      <c r="G52">
        <v>8</v>
      </c>
      <c r="H52" s="3">
        <f>Table3[[#This Row],['# with Full 
Religous Exemption]]/Table3[[#This Row],['# of Students]]</f>
        <v>2.9433406916850625E-3</v>
      </c>
      <c r="I52">
        <v>0</v>
      </c>
      <c r="J52" s="3">
        <f>Table3[[#This Row],['# UTD with 
Partial Religious Exemption]]/Table3[[#This Row],['# of Students]]</f>
        <v>0</v>
      </c>
    </row>
    <row r="53" spans="1:10" x14ac:dyDescent="0.25">
      <c r="A53" t="s">
        <v>52</v>
      </c>
      <c r="B53">
        <v>1524</v>
      </c>
      <c r="C53">
        <v>0</v>
      </c>
      <c r="D53" s="3">
        <f>Table3[[#This Row],['# with Full 
Medical Exemption]]/Table3[[#This Row],['# of Students]]</f>
        <v>0</v>
      </c>
      <c r="E53">
        <v>0</v>
      </c>
      <c r="F53" s="3">
        <f>Table3[[#This Row],['# UTD with 
Partial Medical Exemption]]/Table3[[#This Row],['# of Students]]</f>
        <v>0</v>
      </c>
      <c r="G53">
        <v>21</v>
      </c>
      <c r="H53" s="3">
        <f>Table3[[#This Row],['# with Full 
Religous Exemption]]/Table3[[#This Row],['# of Students]]</f>
        <v>1.3779527559055118E-2</v>
      </c>
      <c r="I53">
        <v>0</v>
      </c>
      <c r="J53" s="3">
        <f>Table3[[#This Row],['# UTD with 
Partial Religious Exemption]]/Table3[[#This Row],['# of Students]]</f>
        <v>0</v>
      </c>
    </row>
    <row r="54" spans="1:10" x14ac:dyDescent="0.25">
      <c r="A54" t="s">
        <v>53</v>
      </c>
      <c r="B54">
        <v>85</v>
      </c>
      <c r="C54">
        <v>0</v>
      </c>
      <c r="D54" s="3">
        <f>Table3[[#This Row],['# with Full 
Medical Exemption]]/Table3[[#This Row],['# of Students]]</f>
        <v>0</v>
      </c>
      <c r="E54">
        <v>0</v>
      </c>
      <c r="F54" s="3">
        <f>Table3[[#This Row],['# UTD with 
Partial Medical Exemption]]/Table3[[#This Row],['# of Students]]</f>
        <v>0</v>
      </c>
      <c r="G54">
        <v>0</v>
      </c>
      <c r="H54" s="3">
        <f>Table3[[#This Row],['# with Full 
Religous Exemption]]/Table3[[#This Row],['# of Students]]</f>
        <v>0</v>
      </c>
      <c r="I54">
        <v>0</v>
      </c>
      <c r="J54" s="3">
        <f>Table3[[#This Row],['# UTD with 
Partial Religious Exemption]]/Table3[[#This Row],['# of Students]]</f>
        <v>0</v>
      </c>
    </row>
    <row r="55" spans="1:10" x14ac:dyDescent="0.25">
      <c r="A55" t="s">
        <v>54</v>
      </c>
      <c r="B55">
        <v>200</v>
      </c>
      <c r="C55">
        <v>0</v>
      </c>
      <c r="D55" s="3">
        <f>Table3[[#This Row],['# with Full 
Medical Exemption]]/Table3[[#This Row],['# of Students]]</f>
        <v>0</v>
      </c>
      <c r="E55">
        <v>0</v>
      </c>
      <c r="F55" s="3">
        <f>Table3[[#This Row],['# UTD with 
Partial Medical Exemption]]/Table3[[#This Row],['# of Students]]</f>
        <v>0</v>
      </c>
      <c r="G55">
        <v>1</v>
      </c>
      <c r="H55" s="3">
        <f>Table3[[#This Row],['# with Full 
Religous Exemption]]/Table3[[#This Row],['# of Students]]</f>
        <v>5.0000000000000001E-3</v>
      </c>
      <c r="I55">
        <v>0</v>
      </c>
      <c r="J55" s="3">
        <f>Table3[[#This Row],['# UTD with 
Partial Religious Exemption]]/Table3[[#This Row],['# of Students]]</f>
        <v>0</v>
      </c>
    </row>
    <row r="56" spans="1:10" x14ac:dyDescent="0.25">
      <c r="A56" t="s">
        <v>55</v>
      </c>
      <c r="B56">
        <v>327</v>
      </c>
      <c r="C56">
        <v>0</v>
      </c>
      <c r="D56" s="3">
        <f>Table3[[#This Row],['# with Full 
Medical Exemption]]/Table3[[#This Row],['# of Students]]</f>
        <v>0</v>
      </c>
      <c r="E56">
        <v>0</v>
      </c>
      <c r="F56" s="3">
        <f>Table3[[#This Row],['# UTD with 
Partial Medical Exemption]]/Table3[[#This Row],['# of Students]]</f>
        <v>0</v>
      </c>
      <c r="G56">
        <v>3</v>
      </c>
      <c r="H56" s="3">
        <f>Table3[[#This Row],['# with Full 
Religous Exemption]]/Table3[[#This Row],['# of Students]]</f>
        <v>9.1743119266055051E-3</v>
      </c>
      <c r="I56">
        <v>0</v>
      </c>
      <c r="J56" s="3">
        <f>Table3[[#This Row],['# UTD with 
Partial Religious Exemption]]/Table3[[#This Row],['# of Students]]</f>
        <v>0</v>
      </c>
    </row>
    <row r="57" spans="1:10" x14ac:dyDescent="0.25">
      <c r="A57" t="s">
        <v>56</v>
      </c>
      <c r="B57">
        <v>291</v>
      </c>
      <c r="C57">
        <v>0</v>
      </c>
      <c r="D57" s="3">
        <f>Table3[[#This Row],['# with Full 
Medical Exemption]]/Table3[[#This Row],['# of Students]]</f>
        <v>0</v>
      </c>
      <c r="E57">
        <v>0</v>
      </c>
      <c r="F57" s="3">
        <f>Table3[[#This Row],['# UTD with 
Partial Medical Exemption]]/Table3[[#This Row],['# of Students]]</f>
        <v>0</v>
      </c>
      <c r="G57">
        <v>2</v>
      </c>
      <c r="H57" s="3">
        <f>Table3[[#This Row],['# with Full 
Religous Exemption]]/Table3[[#This Row],['# of Students]]</f>
        <v>6.8728522336769758E-3</v>
      </c>
      <c r="I57">
        <v>0</v>
      </c>
      <c r="J57" s="3">
        <f>Table3[[#This Row],['# UTD with 
Partial Religious Exemption]]/Table3[[#This Row],['# of Students]]</f>
        <v>0</v>
      </c>
    </row>
    <row r="58" spans="1:10" x14ac:dyDescent="0.25">
      <c r="A58" t="s">
        <v>57</v>
      </c>
      <c r="B58">
        <v>977</v>
      </c>
      <c r="C58">
        <v>0</v>
      </c>
      <c r="D58" s="3">
        <f>Table3[[#This Row],['# with Full 
Medical Exemption]]/Table3[[#This Row],['# of Students]]</f>
        <v>0</v>
      </c>
      <c r="E58">
        <v>0</v>
      </c>
      <c r="F58" s="3">
        <f>Table3[[#This Row],['# UTD with 
Partial Medical Exemption]]/Table3[[#This Row],['# of Students]]</f>
        <v>0</v>
      </c>
      <c r="G58">
        <v>3</v>
      </c>
      <c r="H58" s="3">
        <f>Table3[[#This Row],['# with Full 
Religous Exemption]]/Table3[[#This Row],['# of Students]]</f>
        <v>3.0706243602865915E-3</v>
      </c>
      <c r="I58">
        <v>0</v>
      </c>
      <c r="J58" s="3">
        <f>Table3[[#This Row],['# UTD with 
Partial Religious Exemption]]/Table3[[#This Row],['# of Students]]</f>
        <v>0</v>
      </c>
    </row>
    <row r="59" spans="1:10" x14ac:dyDescent="0.25">
      <c r="A59" t="s">
        <v>58</v>
      </c>
      <c r="B59">
        <v>3392</v>
      </c>
      <c r="C59">
        <v>1</v>
      </c>
      <c r="D59" s="3">
        <f>Table3[[#This Row],['# with Full 
Medical Exemption]]/Table3[[#This Row],['# of Students]]</f>
        <v>2.9481132075471697E-4</v>
      </c>
      <c r="E59">
        <v>5</v>
      </c>
      <c r="F59" s="3">
        <f>Table3[[#This Row],['# UTD with 
Partial Medical Exemption]]/Table3[[#This Row],['# of Students]]</f>
        <v>1.474056603773585E-3</v>
      </c>
      <c r="G59">
        <v>44</v>
      </c>
      <c r="H59" s="3">
        <f>Table3[[#This Row],['# with Full 
Religous Exemption]]/Table3[[#This Row],['# of Students]]</f>
        <v>1.2971698113207548E-2</v>
      </c>
      <c r="I59">
        <v>0</v>
      </c>
      <c r="J59" s="3">
        <f>Table3[[#This Row],['# UTD with 
Partial Religious Exemption]]/Table3[[#This Row],['# of Students]]</f>
        <v>0</v>
      </c>
    </row>
    <row r="60" spans="1:10" x14ac:dyDescent="0.25">
      <c r="A60" t="s">
        <v>77</v>
      </c>
      <c r="B60">
        <v>1164</v>
      </c>
      <c r="C60">
        <v>2</v>
      </c>
      <c r="D60" s="3">
        <f>Table3[[#This Row],['# with Full 
Medical Exemption]]/Table3[[#This Row],['# of Students]]</f>
        <v>1.718213058419244E-3</v>
      </c>
      <c r="E60">
        <v>0</v>
      </c>
      <c r="F60" s="3">
        <f>Table3[[#This Row],['# UTD with 
Partial Medical Exemption]]/Table3[[#This Row],['# of Students]]</f>
        <v>0</v>
      </c>
      <c r="G60">
        <v>13</v>
      </c>
      <c r="H60" s="3">
        <f>Table3[[#This Row],['# with Full 
Religous Exemption]]/Table3[[#This Row],['# of Students]]</f>
        <v>1.1168384879725086E-2</v>
      </c>
      <c r="I60">
        <v>0</v>
      </c>
      <c r="J60" s="3">
        <f>Table3[[#This Row],['# UTD with 
Partial Religious Exemption]]/Table3[[#This Row],['# of Students]]</f>
        <v>0</v>
      </c>
    </row>
    <row r="61" spans="1:10" x14ac:dyDescent="0.25">
      <c r="A61" t="s">
        <v>60</v>
      </c>
      <c r="B61">
        <v>123</v>
      </c>
      <c r="C61">
        <v>0</v>
      </c>
      <c r="D61" s="3">
        <f>Table3[[#This Row],['# with Full 
Medical Exemption]]/Table3[[#This Row],['# of Students]]</f>
        <v>0</v>
      </c>
      <c r="E61">
        <v>0</v>
      </c>
      <c r="F61" s="3">
        <f>Table3[[#This Row],['# UTD with 
Partial Medical Exemption]]/Table3[[#This Row],['# of Students]]</f>
        <v>0</v>
      </c>
      <c r="G61">
        <v>0</v>
      </c>
      <c r="H61" s="3">
        <f>Table3[[#This Row],['# with Full 
Religous Exemption]]/Table3[[#This Row],['# of Students]]</f>
        <v>0</v>
      </c>
      <c r="I61">
        <v>1</v>
      </c>
      <c r="J61" s="3">
        <f>Table3[[#This Row],['# UTD with 
Partial Religious Exemption]]/Table3[[#This Row],['# of Students]]</f>
        <v>8.130081300813009E-3</v>
      </c>
    </row>
    <row r="62" spans="1:10" x14ac:dyDescent="0.25">
      <c r="A62" t="s">
        <v>61</v>
      </c>
      <c r="B62">
        <v>819</v>
      </c>
      <c r="C62">
        <v>0</v>
      </c>
      <c r="D62" s="3">
        <f>Table3[[#This Row],['# with Full 
Medical Exemption]]/Table3[[#This Row],['# of Students]]</f>
        <v>0</v>
      </c>
      <c r="E62">
        <v>1</v>
      </c>
      <c r="F62" s="3">
        <f>Table3[[#This Row],['# UTD with 
Partial Medical Exemption]]/Table3[[#This Row],['# of Students]]</f>
        <v>1.221001221001221E-3</v>
      </c>
      <c r="G62">
        <v>6</v>
      </c>
      <c r="H62" s="3">
        <f>Table3[[#This Row],['# with Full 
Religous Exemption]]/Table3[[#This Row],['# of Students]]</f>
        <v>7.326007326007326E-3</v>
      </c>
      <c r="I62">
        <v>0</v>
      </c>
      <c r="J62" s="3">
        <f>Table3[[#This Row],['# UTD with 
Partial Religious Exemption]]/Table3[[#This Row],['# of Students]]</f>
        <v>0</v>
      </c>
    </row>
    <row r="63" spans="1:10" x14ac:dyDescent="0.25">
      <c r="A63" t="s">
        <v>62</v>
      </c>
      <c r="B63">
        <v>459</v>
      </c>
      <c r="C63">
        <v>0</v>
      </c>
      <c r="D63" s="3">
        <f>Table3[[#This Row],['# with Full 
Medical Exemption]]/Table3[[#This Row],['# of Students]]</f>
        <v>0</v>
      </c>
      <c r="E63">
        <v>0</v>
      </c>
      <c r="F63" s="3">
        <f>Table3[[#This Row],['# UTD with 
Partial Medical Exemption]]/Table3[[#This Row],['# of Students]]</f>
        <v>0</v>
      </c>
      <c r="G63">
        <v>4</v>
      </c>
      <c r="H63" s="3">
        <f>Table3[[#This Row],['# with Full 
Religous Exemption]]/Table3[[#This Row],['# of Students]]</f>
        <v>8.7145969498910684E-3</v>
      </c>
      <c r="I63">
        <v>0</v>
      </c>
      <c r="J63" s="3">
        <f>Table3[[#This Row],['# UTD with 
Partial Religious Exemption]]/Table3[[#This Row],['# of Students]]</f>
        <v>0</v>
      </c>
    </row>
    <row r="64" spans="1:10" x14ac:dyDescent="0.25">
      <c r="A64" t="s">
        <v>63</v>
      </c>
      <c r="B64">
        <v>2508</v>
      </c>
      <c r="C64">
        <v>0</v>
      </c>
      <c r="D64" s="3">
        <f>Table3[[#This Row],['# with Full 
Medical Exemption]]/Table3[[#This Row],['# of Students]]</f>
        <v>0</v>
      </c>
      <c r="E64">
        <v>0</v>
      </c>
      <c r="F64" s="3">
        <f>Table3[[#This Row],['# UTD with 
Partial Medical Exemption]]/Table3[[#This Row],['# of Students]]</f>
        <v>0</v>
      </c>
      <c r="G64">
        <v>20</v>
      </c>
      <c r="H64" s="3">
        <f>Table3[[#This Row],['# with Full 
Religous Exemption]]/Table3[[#This Row],['# of Students]]</f>
        <v>7.9744816586921844E-3</v>
      </c>
      <c r="I64">
        <v>0</v>
      </c>
      <c r="J64" s="3">
        <f>Table3[[#This Row],['# UTD with 
Partial Religious Exemption]]/Table3[[#This Row],['# of Students]]</f>
        <v>0</v>
      </c>
    </row>
    <row r="65" spans="1:10" x14ac:dyDescent="0.25">
      <c r="A65" t="s">
        <v>64</v>
      </c>
      <c r="B65">
        <v>738</v>
      </c>
      <c r="C65">
        <v>1</v>
      </c>
      <c r="D65" s="3">
        <f>Table3[[#This Row],['# with Full 
Medical Exemption]]/Table3[[#This Row],['# of Students]]</f>
        <v>1.3550135501355014E-3</v>
      </c>
      <c r="E65">
        <v>1</v>
      </c>
      <c r="F65" s="3">
        <f>Table3[[#This Row],['# UTD with 
Partial Medical Exemption]]/Table3[[#This Row],['# of Students]]</f>
        <v>1.3550135501355014E-3</v>
      </c>
      <c r="G65">
        <v>2</v>
      </c>
      <c r="H65" s="3">
        <f>Table3[[#This Row],['# with Full 
Religous Exemption]]/Table3[[#This Row],['# of Students]]</f>
        <v>2.7100271002710027E-3</v>
      </c>
      <c r="I65">
        <v>0</v>
      </c>
      <c r="J65" s="3">
        <f>Table3[[#This Row],['# UTD with 
Partial Religious Exemption]]/Table3[[#This Row],['# of Students]]</f>
        <v>0</v>
      </c>
    </row>
    <row r="66" spans="1:10" x14ac:dyDescent="0.25">
      <c r="A66" t="s">
        <v>65</v>
      </c>
      <c r="B66">
        <v>196</v>
      </c>
      <c r="C66">
        <v>1</v>
      </c>
      <c r="D66" s="3">
        <f>Table3[[#This Row],['# with Full 
Medical Exemption]]/Table3[[#This Row],['# of Students]]</f>
        <v>5.1020408163265302E-3</v>
      </c>
      <c r="E66">
        <v>0</v>
      </c>
      <c r="F66" s="3">
        <f>Table3[[#This Row],['# UTD with 
Partial Medical Exemption]]/Table3[[#This Row],['# of Students]]</f>
        <v>0</v>
      </c>
      <c r="G66">
        <v>0</v>
      </c>
      <c r="H66" s="3">
        <f>Table3[[#This Row],['# with Full 
Religous Exemption]]/Table3[[#This Row],['# of Students]]</f>
        <v>0</v>
      </c>
      <c r="I66">
        <v>0</v>
      </c>
      <c r="J66" s="3">
        <f>Table3[[#This Row],['# UTD with 
Partial Religious Exemption]]/Table3[[#This Row],['# of Students]]</f>
        <v>0</v>
      </c>
    </row>
    <row r="67" spans="1:10" x14ac:dyDescent="0.25">
      <c r="A67" t="s">
        <v>66</v>
      </c>
      <c r="B67">
        <v>103</v>
      </c>
      <c r="C67">
        <v>0</v>
      </c>
      <c r="D67" s="3">
        <f>Table3[[#This Row],['# with Full 
Medical Exemption]]/Table3[[#This Row],['# of Students]]</f>
        <v>0</v>
      </c>
      <c r="E67">
        <v>0</v>
      </c>
      <c r="F67" s="3">
        <f>Table3[[#This Row],['# UTD with 
Partial Medical Exemption]]/Table3[[#This Row],['# of Students]]</f>
        <v>0</v>
      </c>
      <c r="G67">
        <v>0</v>
      </c>
      <c r="H67" s="3">
        <f>Table3[[#This Row],['# with Full 
Religous Exemption]]/Table3[[#This Row],['# of Students]]</f>
        <v>0</v>
      </c>
      <c r="I67">
        <v>0</v>
      </c>
      <c r="J67" s="3">
        <f>Table3[[#This Row],['# UTD with 
Partial Religious Exemption]]/Table3[[#This Row],['# of Students]]</f>
        <v>0</v>
      </c>
    </row>
    <row r="68" spans="1:10" x14ac:dyDescent="0.25">
      <c r="A68" t="s">
        <v>67</v>
      </c>
      <c r="B68">
        <v>279</v>
      </c>
      <c r="C68">
        <v>0</v>
      </c>
      <c r="D68" s="3">
        <f>Table3[[#This Row],['# with Full 
Medical Exemption]]/Table3[[#This Row],['# of Students]]</f>
        <v>0</v>
      </c>
      <c r="E68">
        <v>0</v>
      </c>
      <c r="F68" s="3">
        <f>Table3[[#This Row],['# UTD with 
Partial Medical Exemption]]/Table3[[#This Row],['# of Students]]</f>
        <v>0</v>
      </c>
      <c r="G68">
        <v>4</v>
      </c>
      <c r="H68" s="3">
        <f>Table3[[#This Row],['# with Full 
Religous Exemption]]/Table3[[#This Row],['# of Students]]</f>
        <v>1.4336917562724014E-2</v>
      </c>
      <c r="I68">
        <v>0</v>
      </c>
      <c r="J68" s="3">
        <f>Table3[[#This Row],['# UTD with 
Partial Religious Exemption]]/Table3[[#This Row],['# of Students]]</f>
        <v>0</v>
      </c>
    </row>
    <row r="69" spans="1:10" x14ac:dyDescent="0.25">
      <c r="B69">
        <f>SUBTOTAL(109,Table3['# of Students])</f>
        <v>61872</v>
      </c>
      <c r="C69">
        <f>SUBTOTAL(109,Table3['# with Full 
Medical Exemption])</f>
        <v>40</v>
      </c>
      <c r="D69" s="3">
        <f>Table3[[#Totals],['# with Full 
Medical Exemption]]/Table3[[#Totals],['# of Students]]</f>
        <v>6.464959917248513E-4</v>
      </c>
      <c r="E69">
        <f>SUBTOTAL(109,Table3['# UTD with 
Partial Medical Exemption])</f>
        <v>34</v>
      </c>
      <c r="F69" s="3">
        <f>Table3[[#Totals],['# UTD with 
Partial Medical Exemption]]/Table3[[#Totals],['# of Students]]</f>
        <v>5.4952159296612366E-4</v>
      </c>
      <c r="G69">
        <f>SUBTOTAL(109,Table3['# with Full 
Religous Exemption])</f>
        <v>668</v>
      </c>
      <c r="H69" s="3">
        <f>Table3[[#Totals],['# with Full 
Religous Exemption]]/Table3[[#Totals],['# of Students]]</f>
        <v>1.0796483061805017E-2</v>
      </c>
      <c r="I69">
        <f>SUBTOTAL(109,Table3['# UTD with 
Partial Religious Exemption])</f>
        <v>4</v>
      </c>
      <c r="J69" s="3">
        <f>Table3[[#Totals],['# UTD with 
Partial Religious Exemption]]/Table3[[#Totals],['# of Students]]</f>
        <v>6.464959917248513E-5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ECA6-82A0-4275-AADC-A3FD0BB36A94}">
  <dimension ref="A1:J69"/>
  <sheetViews>
    <sheetView workbookViewId="0">
      <selection sqref="A1:XFD1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20.7109375" bestFit="1" customWidth="1"/>
    <col min="4" max="4" width="20.7109375" style="3" bestFit="1" customWidth="1"/>
    <col min="5" max="5" width="27" bestFit="1" customWidth="1"/>
    <col min="6" max="6" width="25.85546875" style="3" bestFit="1" customWidth="1"/>
    <col min="7" max="7" width="21.140625" bestFit="1" customWidth="1"/>
    <col min="8" max="8" width="21.140625" style="3" bestFit="1" customWidth="1"/>
    <col min="9" max="9" width="28.140625" bestFit="1" customWidth="1"/>
    <col min="10" max="10" width="28.140625" style="3" bestFit="1" customWidth="1"/>
  </cols>
  <sheetData>
    <row r="1" spans="1:10" ht="30" x14ac:dyDescent="0.25">
      <c r="A1" t="s">
        <v>0</v>
      </c>
      <c r="B1" t="s">
        <v>68</v>
      </c>
      <c r="C1" s="1" t="s">
        <v>69</v>
      </c>
      <c r="D1" s="2" t="s">
        <v>70</v>
      </c>
      <c r="E1" s="1" t="s">
        <v>71</v>
      </c>
      <c r="F1" s="2" t="s">
        <v>72</v>
      </c>
      <c r="G1" s="1" t="s">
        <v>73</v>
      </c>
      <c r="H1" s="2" t="s">
        <v>74</v>
      </c>
      <c r="I1" s="1" t="s">
        <v>75</v>
      </c>
      <c r="J1" s="2" t="s">
        <v>76</v>
      </c>
    </row>
    <row r="2" spans="1:10" x14ac:dyDescent="0.25">
      <c r="A2" t="s">
        <v>1</v>
      </c>
      <c r="B2">
        <v>744</v>
      </c>
      <c r="C2">
        <v>0</v>
      </c>
      <c r="D2" s="3">
        <f>Table4[[#This Row],['# with Full 
Medical Exemption]]/Table4[[#This Row],['# of Students]]</f>
        <v>0</v>
      </c>
      <c r="E2">
        <v>0</v>
      </c>
      <c r="F2" s="3">
        <f>Table4[[#This Row],['# UTD with 
Partial Medical Exemption]]/Table4[[#This Row],['# of Students]]</f>
        <v>0</v>
      </c>
      <c r="G2">
        <v>6</v>
      </c>
      <c r="H2" s="3">
        <f>Table4[[#This Row],['# with Full 
Religous Exemption]]/Table4[[#This Row],['# of Students]]</f>
        <v>8.0645161290322578E-3</v>
      </c>
      <c r="I2">
        <v>0</v>
      </c>
      <c r="J2" s="3">
        <f>Table4[[#This Row],['# UTD with 
Partial Religious Exemption]]/Table4[[#This Row],['# of Students]]</f>
        <v>0</v>
      </c>
    </row>
    <row r="3" spans="1:10" x14ac:dyDescent="0.25">
      <c r="A3" t="s">
        <v>2</v>
      </c>
      <c r="B3">
        <v>2938</v>
      </c>
      <c r="C3">
        <v>3</v>
      </c>
      <c r="D3" s="3">
        <f>Table4[[#This Row],['# with Full 
Medical Exemption]]/Table4[[#This Row],['# of Students]]</f>
        <v>1.0211027910142954E-3</v>
      </c>
      <c r="E3">
        <v>2</v>
      </c>
      <c r="F3" s="3">
        <f>Table4[[#This Row],['# UTD with 
Partial Medical Exemption]]/Table4[[#This Row],['# of Students]]</f>
        <v>6.8073519400953025E-4</v>
      </c>
      <c r="G3">
        <v>88</v>
      </c>
      <c r="H3" s="3">
        <f>Table4[[#This Row],['# with Full 
Religous Exemption]]/Table4[[#This Row],['# of Students]]</f>
        <v>2.9952348536419333E-2</v>
      </c>
      <c r="I3">
        <v>0</v>
      </c>
      <c r="J3" s="3">
        <f>Table4[[#This Row],['# UTD with 
Partial Religious Exemption]]/Table4[[#This Row],['# of Students]]</f>
        <v>0</v>
      </c>
    </row>
    <row r="4" spans="1:10" x14ac:dyDescent="0.25">
      <c r="A4" t="s">
        <v>3</v>
      </c>
      <c r="B4">
        <v>613</v>
      </c>
      <c r="C4">
        <v>0</v>
      </c>
      <c r="D4" s="3">
        <f>Table4[[#This Row],['# with Full 
Medical Exemption]]/Table4[[#This Row],['# of Students]]</f>
        <v>0</v>
      </c>
      <c r="E4">
        <v>0</v>
      </c>
      <c r="F4" s="3">
        <f>Table4[[#This Row],['# UTD with 
Partial Medical Exemption]]/Table4[[#This Row],['# of Students]]</f>
        <v>0</v>
      </c>
      <c r="G4">
        <v>6</v>
      </c>
      <c r="H4" s="3">
        <f>Table4[[#This Row],['# with Full 
Religous Exemption]]/Table4[[#This Row],['# of Students]]</f>
        <v>9.7879282218597055E-3</v>
      </c>
      <c r="I4">
        <v>0</v>
      </c>
      <c r="J4" s="3">
        <f>Table4[[#This Row],['# UTD with 
Partial Religious Exemption]]/Table4[[#This Row],['# of Students]]</f>
        <v>0</v>
      </c>
    </row>
    <row r="5" spans="1:10" x14ac:dyDescent="0.25">
      <c r="A5" t="s">
        <v>4</v>
      </c>
      <c r="B5">
        <v>255</v>
      </c>
      <c r="C5">
        <v>1</v>
      </c>
      <c r="D5" s="3">
        <f>Table4[[#This Row],['# with Full 
Medical Exemption]]/Table4[[#This Row],['# of Students]]</f>
        <v>3.9215686274509803E-3</v>
      </c>
      <c r="E5">
        <v>0</v>
      </c>
      <c r="F5" s="3">
        <f>Table4[[#This Row],['# UTD with 
Partial Medical Exemption]]/Table4[[#This Row],['# of Students]]</f>
        <v>0</v>
      </c>
      <c r="G5">
        <v>6</v>
      </c>
      <c r="H5" s="3">
        <f>Table4[[#This Row],['# with Full 
Religous Exemption]]/Table4[[#This Row],['# of Students]]</f>
        <v>2.3529411764705882E-2</v>
      </c>
      <c r="I5">
        <v>0</v>
      </c>
      <c r="J5" s="3">
        <f>Table4[[#This Row],['# UTD with 
Partial Religious Exemption]]/Table4[[#This Row],['# of Students]]</f>
        <v>0</v>
      </c>
    </row>
    <row r="6" spans="1:10" x14ac:dyDescent="0.25">
      <c r="A6" t="s">
        <v>5</v>
      </c>
      <c r="B6">
        <v>732</v>
      </c>
      <c r="C6">
        <v>0</v>
      </c>
      <c r="D6" s="3">
        <f>Table4[[#This Row],['# with Full 
Medical Exemption]]/Table4[[#This Row],['# of Students]]</f>
        <v>0</v>
      </c>
      <c r="E6">
        <v>0</v>
      </c>
      <c r="F6" s="3">
        <f>Table4[[#This Row],['# UTD with 
Partial Medical Exemption]]/Table4[[#This Row],['# of Students]]</f>
        <v>0</v>
      </c>
      <c r="G6">
        <v>15</v>
      </c>
      <c r="H6" s="3">
        <f>Table4[[#This Row],['# with Full 
Religous Exemption]]/Table4[[#This Row],['# of Students]]</f>
        <v>2.0491803278688523E-2</v>
      </c>
      <c r="I6">
        <v>0</v>
      </c>
      <c r="J6" s="3">
        <f>Table4[[#This Row],['# UTD with 
Partial Religious Exemption]]/Table4[[#This Row],['# of Students]]</f>
        <v>0</v>
      </c>
    </row>
    <row r="7" spans="1:10" x14ac:dyDescent="0.25">
      <c r="A7" t="s">
        <v>6</v>
      </c>
      <c r="B7">
        <v>104</v>
      </c>
      <c r="C7">
        <v>0</v>
      </c>
      <c r="D7" s="3">
        <f>Table4[[#This Row],['# with Full 
Medical Exemption]]/Table4[[#This Row],['# of Students]]</f>
        <v>0</v>
      </c>
      <c r="E7">
        <v>0</v>
      </c>
      <c r="F7" s="3">
        <f>Table4[[#This Row],['# UTD with 
Partial Medical Exemption]]/Table4[[#This Row],['# of Students]]</f>
        <v>0</v>
      </c>
      <c r="G7">
        <v>0</v>
      </c>
      <c r="H7" s="3">
        <f>Table4[[#This Row],['# with Full 
Religous Exemption]]/Table4[[#This Row],['# of Students]]</f>
        <v>0</v>
      </c>
      <c r="I7">
        <v>0</v>
      </c>
      <c r="J7" s="3">
        <f>Table4[[#This Row],['# UTD with 
Partial Religious Exemption]]/Table4[[#This Row],['# of Students]]</f>
        <v>0</v>
      </c>
    </row>
    <row r="8" spans="1:10" x14ac:dyDescent="0.25">
      <c r="A8" t="s">
        <v>7</v>
      </c>
      <c r="B8">
        <v>236</v>
      </c>
      <c r="C8">
        <v>0</v>
      </c>
      <c r="D8" s="3">
        <f>Table4[[#This Row],['# with Full 
Medical Exemption]]/Table4[[#This Row],['# of Students]]</f>
        <v>0</v>
      </c>
      <c r="E8">
        <v>0</v>
      </c>
      <c r="F8" s="3">
        <f>Table4[[#This Row],['# UTD with 
Partial Medical Exemption]]/Table4[[#This Row],['# of Students]]</f>
        <v>0</v>
      </c>
      <c r="G8">
        <v>0</v>
      </c>
      <c r="H8" s="3">
        <f>Table4[[#This Row],['# with Full 
Religous Exemption]]/Table4[[#This Row],['# of Students]]</f>
        <v>0</v>
      </c>
      <c r="I8">
        <v>0</v>
      </c>
      <c r="J8" s="3">
        <f>Table4[[#This Row],['# UTD with 
Partial Religious Exemption]]/Table4[[#This Row],['# of Students]]</f>
        <v>0</v>
      </c>
    </row>
    <row r="9" spans="1:10" x14ac:dyDescent="0.25">
      <c r="A9" t="s">
        <v>8</v>
      </c>
      <c r="B9">
        <v>1281</v>
      </c>
      <c r="C9">
        <v>0</v>
      </c>
      <c r="D9" s="3">
        <f>Table4[[#This Row],['# with Full 
Medical Exemption]]/Table4[[#This Row],['# of Students]]</f>
        <v>0</v>
      </c>
      <c r="E9">
        <v>0</v>
      </c>
      <c r="F9" s="3">
        <f>Table4[[#This Row],['# UTD with 
Partial Medical Exemption]]/Table4[[#This Row],['# of Students]]</f>
        <v>0</v>
      </c>
      <c r="G9">
        <v>27</v>
      </c>
      <c r="H9" s="3">
        <f>Table4[[#This Row],['# with Full 
Religous Exemption]]/Table4[[#This Row],['# of Students]]</f>
        <v>2.1077283372365339E-2</v>
      </c>
      <c r="I9">
        <v>1</v>
      </c>
      <c r="J9" s="3">
        <f>Table4[[#This Row],['# UTD with 
Partial Religious Exemption]]/Table4[[#This Row],['# of Students]]</f>
        <v>7.8064012490241998E-4</v>
      </c>
    </row>
    <row r="10" spans="1:10" x14ac:dyDescent="0.25">
      <c r="A10" t="s">
        <v>9</v>
      </c>
      <c r="B10">
        <v>325</v>
      </c>
      <c r="C10">
        <v>0</v>
      </c>
      <c r="D10" s="3">
        <f>Table4[[#This Row],['# with Full 
Medical Exemption]]/Table4[[#This Row],['# of Students]]</f>
        <v>0</v>
      </c>
      <c r="E10">
        <v>0</v>
      </c>
      <c r="F10" s="3">
        <f>Table4[[#This Row],['# UTD with 
Partial Medical Exemption]]/Table4[[#This Row],['# of Students]]</f>
        <v>0</v>
      </c>
      <c r="G10">
        <v>1</v>
      </c>
      <c r="H10" s="3">
        <f>Table4[[#This Row],['# with Full 
Religous Exemption]]/Table4[[#This Row],['# of Students]]</f>
        <v>3.0769230769230769E-3</v>
      </c>
      <c r="I10">
        <v>0</v>
      </c>
      <c r="J10" s="3">
        <f>Table4[[#This Row],['# UTD with 
Partial Religious Exemption]]/Table4[[#This Row],['# of Students]]</f>
        <v>0</v>
      </c>
    </row>
    <row r="11" spans="1:10" x14ac:dyDescent="0.25">
      <c r="A11" t="s">
        <v>10</v>
      </c>
      <c r="B11">
        <v>288</v>
      </c>
      <c r="C11">
        <v>0</v>
      </c>
      <c r="D11" s="3">
        <f>Table4[[#This Row],['# with Full 
Medical Exemption]]/Table4[[#This Row],['# of Students]]</f>
        <v>0</v>
      </c>
      <c r="E11">
        <v>0</v>
      </c>
      <c r="F11" s="3">
        <f>Table4[[#This Row],['# UTD with 
Partial Medical Exemption]]/Table4[[#This Row],['# of Students]]</f>
        <v>0</v>
      </c>
      <c r="G11">
        <v>4</v>
      </c>
      <c r="H11" s="3">
        <f>Table4[[#This Row],['# with Full 
Religous Exemption]]/Table4[[#This Row],['# of Students]]</f>
        <v>1.3888888888888888E-2</v>
      </c>
      <c r="I11">
        <v>0</v>
      </c>
      <c r="J11" s="3">
        <f>Table4[[#This Row],['# UTD with 
Partial Religious Exemption]]/Table4[[#This Row],['# of Students]]</f>
        <v>0</v>
      </c>
    </row>
    <row r="12" spans="1:10" x14ac:dyDescent="0.25">
      <c r="A12" t="s">
        <v>11</v>
      </c>
      <c r="B12">
        <v>604</v>
      </c>
      <c r="C12">
        <v>2</v>
      </c>
      <c r="D12" s="3">
        <f>Table4[[#This Row],['# with Full 
Medical Exemption]]/Table4[[#This Row],['# of Students]]</f>
        <v>3.3112582781456954E-3</v>
      </c>
      <c r="E12">
        <v>0</v>
      </c>
      <c r="F12" s="3">
        <f>Table4[[#This Row],['# UTD with 
Partial Medical Exemption]]/Table4[[#This Row],['# of Students]]</f>
        <v>0</v>
      </c>
      <c r="G12">
        <v>4</v>
      </c>
      <c r="H12" s="3">
        <f>Table4[[#This Row],['# with Full 
Religous Exemption]]/Table4[[#This Row],['# of Students]]</f>
        <v>6.6225165562913907E-3</v>
      </c>
      <c r="I12">
        <v>0</v>
      </c>
      <c r="J12" s="3">
        <f>Table4[[#This Row],['# UTD with 
Partial Religious Exemption]]/Table4[[#This Row],['# of Students]]</f>
        <v>0</v>
      </c>
    </row>
    <row r="13" spans="1:10" x14ac:dyDescent="0.25">
      <c r="A13" t="s">
        <v>12</v>
      </c>
      <c r="B13">
        <v>85</v>
      </c>
      <c r="C13">
        <v>0</v>
      </c>
      <c r="D13" s="3">
        <f>Table4[[#This Row],['# with Full 
Medical Exemption]]/Table4[[#This Row],['# of Students]]</f>
        <v>0</v>
      </c>
      <c r="E13">
        <v>0</v>
      </c>
      <c r="F13" s="3">
        <f>Table4[[#This Row],['# UTD with 
Partial Medical Exemption]]/Table4[[#This Row],['# of Students]]</f>
        <v>0</v>
      </c>
      <c r="G13">
        <v>0</v>
      </c>
      <c r="H13" s="3">
        <f>Table4[[#This Row],['# with Full 
Religous Exemption]]/Table4[[#This Row],['# of Students]]</f>
        <v>0</v>
      </c>
      <c r="I13">
        <v>0</v>
      </c>
      <c r="J13" s="3">
        <f>Table4[[#This Row],['# UTD with 
Partial Religious Exemption]]/Table4[[#This Row],['# of Students]]</f>
        <v>0</v>
      </c>
    </row>
    <row r="14" spans="1:10" x14ac:dyDescent="0.25">
      <c r="A14" t="s">
        <v>13</v>
      </c>
      <c r="B14">
        <v>272</v>
      </c>
      <c r="C14">
        <v>0</v>
      </c>
      <c r="D14" s="3">
        <f>Table4[[#This Row],['# with Full 
Medical Exemption]]/Table4[[#This Row],['# of Students]]</f>
        <v>0</v>
      </c>
      <c r="E14">
        <v>0</v>
      </c>
      <c r="F14" s="3">
        <f>Table4[[#This Row],['# UTD with 
Partial Medical Exemption]]/Table4[[#This Row],['# of Students]]</f>
        <v>0</v>
      </c>
      <c r="G14">
        <v>0</v>
      </c>
      <c r="H14" s="3">
        <f>Table4[[#This Row],['# with Full 
Religous Exemption]]/Table4[[#This Row],['# of Students]]</f>
        <v>0</v>
      </c>
      <c r="I14">
        <v>0</v>
      </c>
      <c r="J14" s="3">
        <f>Table4[[#This Row],['# UTD with 
Partial Religious Exemption]]/Table4[[#This Row],['# of Students]]</f>
        <v>0</v>
      </c>
    </row>
    <row r="15" spans="1:10" x14ac:dyDescent="0.25">
      <c r="A15" t="s">
        <v>14</v>
      </c>
      <c r="B15">
        <v>148</v>
      </c>
      <c r="C15">
        <v>1</v>
      </c>
      <c r="D15" s="3">
        <f>Table4[[#This Row],['# with Full 
Medical Exemption]]/Table4[[#This Row],['# of Students]]</f>
        <v>6.7567567567567571E-3</v>
      </c>
      <c r="E15">
        <v>0</v>
      </c>
      <c r="F15" s="3">
        <f>Table4[[#This Row],['# UTD with 
Partial Medical Exemption]]/Table4[[#This Row],['# of Students]]</f>
        <v>0</v>
      </c>
      <c r="G15">
        <v>1</v>
      </c>
      <c r="H15" s="3">
        <f>Table4[[#This Row],['# with Full 
Religous Exemption]]/Table4[[#This Row],['# of Students]]</f>
        <v>6.7567567567567571E-3</v>
      </c>
      <c r="I15">
        <v>0</v>
      </c>
      <c r="J15" s="3">
        <f>Table4[[#This Row],['# UTD with 
Partial Religious Exemption]]/Table4[[#This Row],['# of Students]]</f>
        <v>0</v>
      </c>
    </row>
    <row r="16" spans="1:10" x14ac:dyDescent="0.25">
      <c r="A16" t="s">
        <v>15</v>
      </c>
      <c r="B16">
        <v>201</v>
      </c>
      <c r="C16">
        <v>0</v>
      </c>
      <c r="D16" s="3">
        <f>Table4[[#This Row],['# with Full 
Medical Exemption]]/Table4[[#This Row],['# of Students]]</f>
        <v>0</v>
      </c>
      <c r="E16">
        <v>0</v>
      </c>
      <c r="F16" s="3">
        <f>Table4[[#This Row],['# UTD with 
Partial Medical Exemption]]/Table4[[#This Row],['# of Students]]</f>
        <v>0</v>
      </c>
      <c r="G16">
        <v>6</v>
      </c>
      <c r="H16" s="3">
        <f>Table4[[#This Row],['# with Full 
Religous Exemption]]/Table4[[#This Row],['# of Students]]</f>
        <v>2.9850746268656716E-2</v>
      </c>
      <c r="I16">
        <v>0</v>
      </c>
      <c r="J16" s="3">
        <f>Table4[[#This Row],['# UTD with 
Partial Religious Exemption]]/Table4[[#This Row],['# of Students]]</f>
        <v>0</v>
      </c>
    </row>
    <row r="17" spans="1:10" x14ac:dyDescent="0.25">
      <c r="A17" t="s">
        <v>16</v>
      </c>
      <c r="B17">
        <v>757</v>
      </c>
      <c r="C17">
        <v>0</v>
      </c>
      <c r="D17" s="3">
        <f>Table4[[#This Row],['# with Full 
Medical Exemption]]/Table4[[#This Row],['# of Students]]</f>
        <v>0</v>
      </c>
      <c r="E17">
        <v>0</v>
      </c>
      <c r="F17" s="3">
        <f>Table4[[#This Row],['# UTD with 
Partial Medical Exemption]]/Table4[[#This Row],['# of Students]]</f>
        <v>0</v>
      </c>
      <c r="G17">
        <v>13</v>
      </c>
      <c r="H17" s="3">
        <f>Table4[[#This Row],['# with Full 
Religous Exemption]]/Table4[[#This Row],['# of Students]]</f>
        <v>1.7173051519154558E-2</v>
      </c>
      <c r="I17">
        <v>0</v>
      </c>
      <c r="J17" s="3">
        <f>Table4[[#This Row],['# UTD with 
Partial Religious Exemption]]/Table4[[#This Row],['# of Students]]</f>
        <v>0</v>
      </c>
    </row>
    <row r="18" spans="1:10" x14ac:dyDescent="0.25">
      <c r="A18" t="s">
        <v>17</v>
      </c>
      <c r="B18">
        <v>597</v>
      </c>
      <c r="C18">
        <v>0</v>
      </c>
      <c r="D18" s="3">
        <f>Table4[[#This Row],['# with Full 
Medical Exemption]]/Table4[[#This Row],['# of Students]]</f>
        <v>0</v>
      </c>
      <c r="E18">
        <v>0</v>
      </c>
      <c r="F18" s="3">
        <f>Table4[[#This Row],['# UTD with 
Partial Medical Exemption]]/Table4[[#This Row],['# of Students]]</f>
        <v>0</v>
      </c>
      <c r="G18">
        <v>1</v>
      </c>
      <c r="H18" s="3">
        <f>Table4[[#This Row],['# with Full 
Religous Exemption]]/Table4[[#This Row],['# of Students]]</f>
        <v>1.6750418760469012E-3</v>
      </c>
      <c r="I18">
        <v>0</v>
      </c>
      <c r="J18" s="3">
        <f>Table4[[#This Row],['# UTD with 
Partial Religious Exemption]]/Table4[[#This Row],['# of Students]]</f>
        <v>0</v>
      </c>
    </row>
    <row r="19" spans="1:10" x14ac:dyDescent="0.25">
      <c r="A19" t="s">
        <v>18</v>
      </c>
      <c r="B19">
        <v>84</v>
      </c>
      <c r="C19">
        <v>0</v>
      </c>
      <c r="D19" s="3">
        <f>Table4[[#This Row],['# with Full 
Medical Exemption]]/Table4[[#This Row],['# of Students]]</f>
        <v>0</v>
      </c>
      <c r="E19">
        <v>0</v>
      </c>
      <c r="F19" s="3">
        <f>Table4[[#This Row],['# UTD with 
Partial Medical Exemption]]/Table4[[#This Row],['# of Students]]</f>
        <v>0</v>
      </c>
      <c r="G19">
        <v>1</v>
      </c>
      <c r="H19" s="3">
        <f>Table4[[#This Row],['# with Full 
Religous Exemption]]/Table4[[#This Row],['# of Students]]</f>
        <v>1.1904761904761904E-2</v>
      </c>
      <c r="I19">
        <v>0</v>
      </c>
      <c r="J19" s="3">
        <f>Table4[[#This Row],['# UTD with 
Partial Religious Exemption]]/Table4[[#This Row],['# of Students]]</f>
        <v>0</v>
      </c>
    </row>
    <row r="20" spans="1:10" x14ac:dyDescent="0.25">
      <c r="A20" t="s">
        <v>19</v>
      </c>
      <c r="B20">
        <v>82</v>
      </c>
      <c r="C20">
        <v>0</v>
      </c>
      <c r="D20" s="3">
        <f>Table4[[#This Row],['# with Full 
Medical Exemption]]/Table4[[#This Row],['# of Students]]</f>
        <v>0</v>
      </c>
      <c r="E20">
        <v>0</v>
      </c>
      <c r="F20" s="3">
        <f>Table4[[#This Row],['# UTD with 
Partial Medical Exemption]]/Table4[[#This Row],['# of Students]]</f>
        <v>0</v>
      </c>
      <c r="G20">
        <v>2</v>
      </c>
      <c r="H20" s="3">
        <f>Table4[[#This Row],['# with Full 
Religous Exemption]]/Table4[[#This Row],['# of Students]]</f>
        <v>2.4390243902439025E-2</v>
      </c>
      <c r="I20">
        <v>0</v>
      </c>
      <c r="J20" s="3">
        <f>Table4[[#This Row],['# UTD with 
Partial Religious Exemption]]/Table4[[#This Row],['# of Students]]</f>
        <v>0</v>
      </c>
    </row>
    <row r="21" spans="1:10" x14ac:dyDescent="0.25">
      <c r="A21" t="s">
        <v>20</v>
      </c>
      <c r="B21">
        <v>472</v>
      </c>
      <c r="C21">
        <v>3</v>
      </c>
      <c r="D21" s="3">
        <f>Table4[[#This Row],['# with Full 
Medical Exemption]]/Table4[[#This Row],['# of Students]]</f>
        <v>6.3559322033898309E-3</v>
      </c>
      <c r="E21">
        <v>0</v>
      </c>
      <c r="F21" s="3">
        <f>Table4[[#This Row],['# UTD with 
Partial Medical Exemption]]/Table4[[#This Row],['# of Students]]</f>
        <v>0</v>
      </c>
      <c r="G21">
        <v>9</v>
      </c>
      <c r="H21" s="3">
        <f>Table4[[#This Row],['# with Full 
Religous Exemption]]/Table4[[#This Row],['# of Students]]</f>
        <v>1.9067796610169493E-2</v>
      </c>
      <c r="I21">
        <v>0</v>
      </c>
      <c r="J21" s="3">
        <f>Table4[[#This Row],['# UTD with 
Partial Religious Exemption]]/Table4[[#This Row],['# of Students]]</f>
        <v>0</v>
      </c>
    </row>
    <row r="22" spans="1:10" x14ac:dyDescent="0.25">
      <c r="A22" t="s">
        <v>21</v>
      </c>
      <c r="B22">
        <v>177</v>
      </c>
      <c r="C22">
        <v>0</v>
      </c>
      <c r="D22" s="3">
        <f>Table4[[#This Row],['# with Full 
Medical Exemption]]/Table4[[#This Row],['# of Students]]</f>
        <v>0</v>
      </c>
      <c r="E22">
        <v>0</v>
      </c>
      <c r="F22" s="3">
        <f>Table4[[#This Row],['# UTD with 
Partial Medical Exemption]]/Table4[[#This Row],['# of Students]]</f>
        <v>0</v>
      </c>
      <c r="G22">
        <v>0</v>
      </c>
      <c r="H22" s="3">
        <f>Table4[[#This Row],['# with Full 
Religous Exemption]]/Table4[[#This Row],['# of Students]]</f>
        <v>0</v>
      </c>
      <c r="I22">
        <v>0</v>
      </c>
      <c r="J22" s="3">
        <f>Table4[[#This Row],['# UTD with 
Partial Religious Exemption]]/Table4[[#This Row],['# of Students]]</f>
        <v>0</v>
      </c>
    </row>
    <row r="23" spans="1:10" x14ac:dyDescent="0.25">
      <c r="A23" t="s">
        <v>22</v>
      </c>
      <c r="B23">
        <v>963</v>
      </c>
      <c r="C23">
        <v>1</v>
      </c>
      <c r="D23" s="3">
        <f>Table4[[#This Row],['# with Full 
Medical Exemption]]/Table4[[#This Row],['# of Students]]</f>
        <v>1.0384215991692627E-3</v>
      </c>
      <c r="E23">
        <v>0</v>
      </c>
      <c r="F23" s="3">
        <f>Table4[[#This Row],['# UTD with 
Partial Medical Exemption]]/Table4[[#This Row],['# of Students]]</f>
        <v>0</v>
      </c>
      <c r="G23">
        <v>21</v>
      </c>
      <c r="H23" s="3">
        <f>Table4[[#This Row],['# with Full 
Religous Exemption]]/Table4[[#This Row],['# of Students]]</f>
        <v>2.1806853582554516E-2</v>
      </c>
      <c r="I23">
        <v>0</v>
      </c>
      <c r="J23" s="3">
        <f>Table4[[#This Row],['# UTD with 
Partial Religious Exemption]]/Table4[[#This Row],['# of Students]]</f>
        <v>0</v>
      </c>
    </row>
    <row r="24" spans="1:10" x14ac:dyDescent="0.25">
      <c r="A24" t="s">
        <v>23</v>
      </c>
      <c r="B24">
        <v>469</v>
      </c>
      <c r="C24">
        <v>1</v>
      </c>
      <c r="D24" s="3">
        <f>Table4[[#This Row],['# with Full 
Medical Exemption]]/Table4[[#This Row],['# of Students]]</f>
        <v>2.1321961620469083E-3</v>
      </c>
      <c r="E24">
        <v>0</v>
      </c>
      <c r="F24" s="3">
        <f>Table4[[#This Row],['# UTD with 
Partial Medical Exemption]]/Table4[[#This Row],['# of Students]]</f>
        <v>0</v>
      </c>
      <c r="G24">
        <v>6</v>
      </c>
      <c r="H24" s="3">
        <f>Table4[[#This Row],['# with Full 
Religous Exemption]]/Table4[[#This Row],['# of Students]]</f>
        <v>1.279317697228145E-2</v>
      </c>
      <c r="I24">
        <v>0</v>
      </c>
      <c r="J24" s="3">
        <f>Table4[[#This Row],['# UTD with 
Partial Religious Exemption]]/Table4[[#This Row],['# of Students]]</f>
        <v>0</v>
      </c>
    </row>
    <row r="25" spans="1:10" x14ac:dyDescent="0.25">
      <c r="A25" t="s">
        <v>24</v>
      </c>
      <c r="B25">
        <v>301</v>
      </c>
      <c r="C25">
        <v>0</v>
      </c>
      <c r="D25" s="3">
        <f>Table4[[#This Row],['# with Full 
Medical Exemption]]/Table4[[#This Row],['# of Students]]</f>
        <v>0</v>
      </c>
      <c r="E25">
        <v>0</v>
      </c>
      <c r="F25" s="3">
        <f>Table4[[#This Row],['# UTD with 
Partial Medical Exemption]]/Table4[[#This Row],['# of Students]]</f>
        <v>0</v>
      </c>
      <c r="G25">
        <v>1</v>
      </c>
      <c r="H25" s="3">
        <f>Table4[[#This Row],['# with Full 
Religous Exemption]]/Table4[[#This Row],['# of Students]]</f>
        <v>3.3222591362126247E-3</v>
      </c>
      <c r="I25">
        <v>0</v>
      </c>
      <c r="J25" s="3">
        <f>Table4[[#This Row],['# UTD with 
Partial Religious Exemption]]/Table4[[#This Row],['# of Students]]</f>
        <v>0</v>
      </c>
    </row>
    <row r="26" spans="1:10" x14ac:dyDescent="0.25">
      <c r="A26" t="s">
        <v>25</v>
      </c>
      <c r="B26">
        <v>942</v>
      </c>
      <c r="C26">
        <v>1</v>
      </c>
      <c r="D26" s="3">
        <f>Table4[[#This Row],['# with Full 
Medical Exemption]]/Table4[[#This Row],['# of Students]]</f>
        <v>1.0615711252653928E-3</v>
      </c>
      <c r="E26">
        <v>0</v>
      </c>
      <c r="F26" s="3">
        <f>Table4[[#This Row],['# UTD with 
Partial Medical Exemption]]/Table4[[#This Row],['# of Students]]</f>
        <v>0</v>
      </c>
      <c r="G26">
        <v>7</v>
      </c>
      <c r="H26" s="3">
        <f>Table4[[#This Row],['# with Full 
Religous Exemption]]/Table4[[#This Row],['# of Students]]</f>
        <v>7.4309978768577496E-3</v>
      </c>
      <c r="I26">
        <v>0</v>
      </c>
      <c r="J26" s="3">
        <f>Table4[[#This Row],['# UTD with 
Partial Religious Exemption]]/Table4[[#This Row],['# of Students]]</f>
        <v>0</v>
      </c>
    </row>
    <row r="27" spans="1:10" x14ac:dyDescent="0.25">
      <c r="A27" t="s">
        <v>26</v>
      </c>
      <c r="B27">
        <v>1154</v>
      </c>
      <c r="C27">
        <v>2</v>
      </c>
      <c r="D27" s="3">
        <f>Table4[[#This Row],['# with Full 
Medical Exemption]]/Table4[[#This Row],['# of Students]]</f>
        <v>1.7331022530329288E-3</v>
      </c>
      <c r="E27">
        <v>0</v>
      </c>
      <c r="F27" s="3">
        <f>Table4[[#This Row],['# UTD with 
Partial Medical Exemption]]/Table4[[#This Row],['# of Students]]</f>
        <v>0</v>
      </c>
      <c r="G27">
        <v>13</v>
      </c>
      <c r="H27" s="3">
        <f>Table4[[#This Row],['# with Full 
Religous Exemption]]/Table4[[#This Row],['# of Students]]</f>
        <v>1.1265164644714038E-2</v>
      </c>
      <c r="I27">
        <v>0</v>
      </c>
      <c r="J27" s="3">
        <f>Table4[[#This Row],['# UTD with 
Partial Religious Exemption]]/Table4[[#This Row],['# of Students]]</f>
        <v>0</v>
      </c>
    </row>
    <row r="28" spans="1:10" x14ac:dyDescent="0.25">
      <c r="A28" t="s">
        <v>27</v>
      </c>
      <c r="B28">
        <v>453</v>
      </c>
      <c r="C28">
        <v>0</v>
      </c>
      <c r="D28" s="3">
        <f>Table4[[#This Row],['# with Full 
Medical Exemption]]/Table4[[#This Row],['# of Students]]</f>
        <v>0</v>
      </c>
      <c r="E28">
        <v>0</v>
      </c>
      <c r="F28" s="3">
        <f>Table4[[#This Row],['# UTD with 
Partial Medical Exemption]]/Table4[[#This Row],['# of Students]]</f>
        <v>0</v>
      </c>
      <c r="G28">
        <v>1</v>
      </c>
      <c r="H28" s="3">
        <f>Table4[[#This Row],['# with Full 
Religous Exemption]]/Table4[[#This Row],['# of Students]]</f>
        <v>2.2075055187637969E-3</v>
      </c>
      <c r="I28">
        <v>0</v>
      </c>
      <c r="J28" s="3">
        <f>Table4[[#This Row],['# UTD with 
Partial Religious Exemption]]/Table4[[#This Row],['# of Students]]</f>
        <v>0</v>
      </c>
    </row>
    <row r="29" spans="1:10" x14ac:dyDescent="0.25">
      <c r="A29" t="s">
        <v>28</v>
      </c>
      <c r="B29">
        <v>1203</v>
      </c>
      <c r="C29">
        <v>1</v>
      </c>
      <c r="D29" s="3">
        <f>Table4[[#This Row],['# with Full 
Medical Exemption]]/Table4[[#This Row],['# of Students]]</f>
        <v>8.3125519534497092E-4</v>
      </c>
      <c r="E29">
        <v>0</v>
      </c>
      <c r="F29" s="3">
        <f>Table4[[#This Row],['# UTD with 
Partial Medical Exemption]]/Table4[[#This Row],['# of Students]]</f>
        <v>0</v>
      </c>
      <c r="G29">
        <v>24</v>
      </c>
      <c r="H29" s="3">
        <f>Table4[[#This Row],['# with Full 
Religous Exemption]]/Table4[[#This Row],['# of Students]]</f>
        <v>1.9950124688279301E-2</v>
      </c>
      <c r="I29">
        <v>0</v>
      </c>
      <c r="J29" s="3">
        <f>Table4[[#This Row],['# UTD with 
Partial Religious Exemption]]/Table4[[#This Row],['# of Students]]</f>
        <v>0</v>
      </c>
    </row>
    <row r="30" spans="1:10" x14ac:dyDescent="0.25">
      <c r="A30" t="s">
        <v>29</v>
      </c>
      <c r="B30">
        <v>145</v>
      </c>
      <c r="C30">
        <v>0</v>
      </c>
      <c r="D30" s="3">
        <f>Table4[[#This Row],['# with Full 
Medical Exemption]]/Table4[[#This Row],['# of Students]]</f>
        <v>0</v>
      </c>
      <c r="E30">
        <v>0</v>
      </c>
      <c r="F30" s="3">
        <f>Table4[[#This Row],['# UTD with 
Partial Medical Exemption]]/Table4[[#This Row],['# of Students]]</f>
        <v>0</v>
      </c>
      <c r="G30">
        <v>1</v>
      </c>
      <c r="H30" s="3">
        <f>Table4[[#This Row],['# with Full 
Religous Exemption]]/Table4[[#This Row],['# of Students]]</f>
        <v>6.8965517241379309E-3</v>
      </c>
      <c r="I30">
        <v>0</v>
      </c>
      <c r="J30" s="3">
        <f>Table4[[#This Row],['# UTD with 
Partial Religious Exemption]]/Table4[[#This Row],['# of Students]]</f>
        <v>0</v>
      </c>
    </row>
    <row r="31" spans="1:10" x14ac:dyDescent="0.25">
      <c r="A31" t="s">
        <v>30</v>
      </c>
      <c r="B31">
        <v>478</v>
      </c>
      <c r="C31">
        <v>1</v>
      </c>
      <c r="D31" s="3">
        <f>Table4[[#This Row],['# with Full 
Medical Exemption]]/Table4[[#This Row],['# of Students]]</f>
        <v>2.0920502092050207E-3</v>
      </c>
      <c r="E31">
        <v>0</v>
      </c>
      <c r="F31" s="3">
        <f>Table4[[#This Row],['# UTD with 
Partial Medical Exemption]]/Table4[[#This Row],['# of Students]]</f>
        <v>0</v>
      </c>
      <c r="G31">
        <v>3</v>
      </c>
      <c r="H31" s="3">
        <f>Table4[[#This Row],['# with Full 
Religous Exemption]]/Table4[[#This Row],['# of Students]]</f>
        <v>6.2761506276150627E-3</v>
      </c>
      <c r="I31">
        <v>0</v>
      </c>
      <c r="J31" s="3">
        <f>Table4[[#This Row],['# UTD with 
Partial Religious Exemption]]/Table4[[#This Row],['# of Students]]</f>
        <v>0</v>
      </c>
    </row>
    <row r="32" spans="1:10" x14ac:dyDescent="0.25">
      <c r="A32" t="s">
        <v>31</v>
      </c>
      <c r="B32">
        <v>293</v>
      </c>
      <c r="C32">
        <v>0</v>
      </c>
      <c r="D32" s="3">
        <f>Table4[[#This Row],['# with Full 
Medical Exemption]]/Table4[[#This Row],['# of Students]]</f>
        <v>0</v>
      </c>
      <c r="E32">
        <v>0</v>
      </c>
      <c r="F32" s="3">
        <f>Table4[[#This Row],['# UTD with 
Partial Medical Exemption]]/Table4[[#This Row],['# of Students]]</f>
        <v>0</v>
      </c>
      <c r="G32">
        <v>6</v>
      </c>
      <c r="H32" s="3">
        <f>Table4[[#This Row],['# with Full 
Religous Exemption]]/Table4[[#This Row],['# of Students]]</f>
        <v>2.0477815699658702E-2</v>
      </c>
      <c r="I32">
        <v>0</v>
      </c>
      <c r="J32" s="3">
        <f>Table4[[#This Row],['# UTD with 
Partial Religious Exemption]]/Table4[[#This Row],['# of Students]]</f>
        <v>0</v>
      </c>
    </row>
    <row r="33" spans="1:10" x14ac:dyDescent="0.25">
      <c r="A33" t="s">
        <v>32</v>
      </c>
      <c r="B33">
        <v>66</v>
      </c>
      <c r="C33">
        <v>0</v>
      </c>
      <c r="D33" s="3">
        <f>Table4[[#This Row],['# with Full 
Medical Exemption]]/Table4[[#This Row],['# of Students]]</f>
        <v>0</v>
      </c>
      <c r="E33">
        <v>0</v>
      </c>
      <c r="F33" s="3">
        <f>Table4[[#This Row],['# UTD with 
Partial Medical Exemption]]/Table4[[#This Row],['# of Students]]</f>
        <v>0</v>
      </c>
      <c r="G33">
        <v>0</v>
      </c>
      <c r="H33" s="3">
        <f>Table4[[#This Row],['# with Full 
Religous Exemption]]/Table4[[#This Row],['# of Students]]</f>
        <v>0</v>
      </c>
      <c r="I33">
        <v>0</v>
      </c>
      <c r="J33" s="3">
        <f>Table4[[#This Row],['# UTD with 
Partial Religious Exemption]]/Table4[[#This Row],['# of Students]]</f>
        <v>0</v>
      </c>
    </row>
    <row r="34" spans="1:10" x14ac:dyDescent="0.25">
      <c r="A34" t="s">
        <v>33</v>
      </c>
      <c r="B34">
        <v>178</v>
      </c>
      <c r="C34">
        <v>0</v>
      </c>
      <c r="D34" s="3">
        <f>Table4[[#This Row],['# with Full 
Medical Exemption]]/Table4[[#This Row],['# of Students]]</f>
        <v>0</v>
      </c>
      <c r="E34">
        <v>0</v>
      </c>
      <c r="F34" s="3">
        <f>Table4[[#This Row],['# UTD with 
Partial Medical Exemption]]/Table4[[#This Row],['# of Students]]</f>
        <v>0</v>
      </c>
      <c r="G34">
        <v>0</v>
      </c>
      <c r="H34" s="3">
        <f>Table4[[#This Row],['# with Full 
Religous Exemption]]/Table4[[#This Row],['# of Students]]</f>
        <v>0</v>
      </c>
      <c r="I34">
        <v>0</v>
      </c>
      <c r="J34" s="3">
        <f>Table4[[#This Row],['# UTD with 
Partial Religious Exemption]]/Table4[[#This Row],['# of Students]]</f>
        <v>0</v>
      </c>
    </row>
    <row r="35" spans="1:10" x14ac:dyDescent="0.25">
      <c r="A35" t="s">
        <v>34</v>
      </c>
      <c r="B35">
        <v>210</v>
      </c>
      <c r="C35">
        <v>1</v>
      </c>
      <c r="D35" s="3">
        <f>Table4[[#This Row],['# with Full 
Medical Exemption]]/Table4[[#This Row],['# of Students]]</f>
        <v>4.7619047619047623E-3</v>
      </c>
      <c r="E35">
        <v>0</v>
      </c>
      <c r="F35" s="3">
        <f>Table4[[#This Row],['# UTD with 
Partial Medical Exemption]]/Table4[[#This Row],['# of Students]]</f>
        <v>0</v>
      </c>
      <c r="G35">
        <v>4</v>
      </c>
      <c r="H35" s="3">
        <f>Table4[[#This Row],['# with Full 
Religous Exemption]]/Table4[[#This Row],['# of Students]]</f>
        <v>1.9047619047619049E-2</v>
      </c>
      <c r="I35">
        <v>0</v>
      </c>
      <c r="J35" s="3">
        <f>Table4[[#This Row],['# UTD with 
Partial Religious Exemption]]/Table4[[#This Row],['# of Students]]</f>
        <v>0</v>
      </c>
    </row>
    <row r="36" spans="1:10" x14ac:dyDescent="0.25">
      <c r="A36" t="s">
        <v>35</v>
      </c>
      <c r="B36">
        <v>1220</v>
      </c>
      <c r="C36">
        <v>2</v>
      </c>
      <c r="D36" s="3">
        <f>Table4[[#This Row],['# with Full 
Medical Exemption]]/Table4[[#This Row],['# of Students]]</f>
        <v>1.639344262295082E-3</v>
      </c>
      <c r="E36">
        <v>0</v>
      </c>
      <c r="F36" s="3">
        <f>Table4[[#This Row],['# UTD with 
Partial Medical Exemption]]/Table4[[#This Row],['# of Students]]</f>
        <v>0</v>
      </c>
      <c r="G36">
        <v>5</v>
      </c>
      <c r="H36" s="3">
        <f>Table4[[#This Row],['# with Full 
Religous Exemption]]/Table4[[#This Row],['# of Students]]</f>
        <v>4.0983606557377051E-3</v>
      </c>
      <c r="I36">
        <v>1</v>
      </c>
      <c r="J36" s="3">
        <f>Table4[[#This Row],['# UTD with 
Partial Religious Exemption]]/Table4[[#This Row],['# of Students]]</f>
        <v>8.1967213114754098E-4</v>
      </c>
    </row>
    <row r="37" spans="1:10" x14ac:dyDescent="0.25">
      <c r="A37" t="s">
        <v>36</v>
      </c>
      <c r="B37">
        <v>558</v>
      </c>
      <c r="C37">
        <v>1</v>
      </c>
      <c r="D37" s="3">
        <f>Table4[[#This Row],['# with Full 
Medical Exemption]]/Table4[[#This Row],['# of Students]]</f>
        <v>1.7921146953405018E-3</v>
      </c>
      <c r="E37">
        <v>0</v>
      </c>
      <c r="F37" s="3">
        <f>Table4[[#This Row],['# UTD with 
Partial Medical Exemption]]/Table4[[#This Row],['# of Students]]</f>
        <v>0</v>
      </c>
      <c r="G37">
        <v>13</v>
      </c>
      <c r="H37" s="3">
        <f>Table4[[#This Row],['# with Full 
Religous Exemption]]/Table4[[#This Row],['# of Students]]</f>
        <v>2.3297491039426525E-2</v>
      </c>
      <c r="I37">
        <v>0</v>
      </c>
      <c r="J37" s="3">
        <f>Table4[[#This Row],['# UTD with 
Partial Religious Exemption]]/Table4[[#This Row],['# of Students]]</f>
        <v>0</v>
      </c>
    </row>
    <row r="38" spans="1:10" x14ac:dyDescent="0.25">
      <c r="A38" t="s">
        <v>37</v>
      </c>
      <c r="B38">
        <v>7124</v>
      </c>
      <c r="C38">
        <v>7</v>
      </c>
      <c r="D38" s="3">
        <f>Table4[[#This Row],['# with Full 
Medical Exemption]]/Table4[[#This Row],['# of Students]]</f>
        <v>9.8259404828747888E-4</v>
      </c>
      <c r="E38">
        <v>1</v>
      </c>
      <c r="F38" s="3">
        <f>Table4[[#This Row],['# UTD with 
Partial Medical Exemption]]/Table4[[#This Row],['# of Students]]</f>
        <v>1.4037057832678272E-4</v>
      </c>
      <c r="G38">
        <v>54</v>
      </c>
      <c r="H38" s="3">
        <f>Table4[[#This Row],['# with Full 
Religous Exemption]]/Table4[[#This Row],['# of Students]]</f>
        <v>7.5800112296462658E-3</v>
      </c>
      <c r="I38">
        <v>0</v>
      </c>
      <c r="J38" s="3">
        <f>Table4[[#This Row],['# UTD with 
Partial Religious Exemption]]/Table4[[#This Row],['# of Students]]</f>
        <v>0</v>
      </c>
    </row>
    <row r="39" spans="1:10" x14ac:dyDescent="0.25">
      <c r="A39" t="s">
        <v>38</v>
      </c>
      <c r="B39">
        <v>148</v>
      </c>
      <c r="C39">
        <v>0</v>
      </c>
      <c r="D39" s="3">
        <f>Table4[[#This Row],['# with Full 
Medical Exemption]]/Table4[[#This Row],['# of Students]]</f>
        <v>0</v>
      </c>
      <c r="E39">
        <v>0</v>
      </c>
      <c r="F39" s="3">
        <f>Table4[[#This Row],['# UTD with 
Partial Medical Exemption]]/Table4[[#This Row],['# of Students]]</f>
        <v>0</v>
      </c>
      <c r="G39">
        <v>0</v>
      </c>
      <c r="H39" s="3">
        <f>Table4[[#This Row],['# with Full 
Religous Exemption]]/Table4[[#This Row],['# of Students]]</f>
        <v>0</v>
      </c>
      <c r="I39">
        <v>0</v>
      </c>
      <c r="J39" s="3">
        <f>Table4[[#This Row],['# UTD with 
Partial Religious Exemption]]/Table4[[#This Row],['# of Students]]</f>
        <v>0</v>
      </c>
    </row>
    <row r="40" spans="1:10" x14ac:dyDescent="0.25">
      <c r="A40" t="s">
        <v>39</v>
      </c>
      <c r="B40">
        <v>936</v>
      </c>
      <c r="C40">
        <v>1</v>
      </c>
      <c r="D40" s="3">
        <f>Table4[[#This Row],['# with Full 
Medical Exemption]]/Table4[[#This Row],['# of Students]]</f>
        <v>1.0683760683760685E-3</v>
      </c>
      <c r="E40">
        <v>0</v>
      </c>
      <c r="F40" s="3">
        <f>Table4[[#This Row],['# UTD with 
Partial Medical Exemption]]/Table4[[#This Row],['# of Students]]</f>
        <v>0</v>
      </c>
      <c r="G40">
        <v>20</v>
      </c>
      <c r="H40" s="3">
        <f>Table4[[#This Row],['# with Full 
Religous Exemption]]/Table4[[#This Row],['# of Students]]</f>
        <v>2.1367521367521368E-2</v>
      </c>
      <c r="I40">
        <v>0</v>
      </c>
      <c r="J40" s="3">
        <f>Table4[[#This Row],['# UTD with 
Partial Religious Exemption]]/Table4[[#This Row],['# of Students]]</f>
        <v>0</v>
      </c>
    </row>
    <row r="41" spans="1:10" x14ac:dyDescent="0.25">
      <c r="A41" t="s">
        <v>40</v>
      </c>
      <c r="B41">
        <v>335</v>
      </c>
      <c r="C41">
        <v>0</v>
      </c>
      <c r="D41" s="3">
        <f>Table4[[#This Row],['# with Full 
Medical Exemption]]/Table4[[#This Row],['# of Students]]</f>
        <v>0</v>
      </c>
      <c r="E41">
        <v>0</v>
      </c>
      <c r="F41" s="3">
        <f>Table4[[#This Row],['# UTD with 
Partial Medical Exemption]]/Table4[[#This Row],['# of Students]]</f>
        <v>0</v>
      </c>
      <c r="G41">
        <v>4</v>
      </c>
      <c r="H41" s="3">
        <f>Table4[[#This Row],['# with Full 
Religous Exemption]]/Table4[[#This Row],['# of Students]]</f>
        <v>1.1940298507462687E-2</v>
      </c>
      <c r="I41">
        <v>0</v>
      </c>
      <c r="J41" s="3">
        <f>Table4[[#This Row],['# UTD with 
Partial Religious Exemption]]/Table4[[#This Row],['# of Students]]</f>
        <v>0</v>
      </c>
    </row>
    <row r="42" spans="1:10" x14ac:dyDescent="0.25">
      <c r="A42" t="s">
        <v>41</v>
      </c>
      <c r="B42">
        <v>1915</v>
      </c>
      <c r="C42">
        <v>1</v>
      </c>
      <c r="D42" s="3">
        <f>Table4[[#This Row],['# with Full 
Medical Exemption]]/Table4[[#This Row],['# of Students]]</f>
        <v>5.2219321148825064E-4</v>
      </c>
      <c r="E42">
        <v>0</v>
      </c>
      <c r="F42" s="3">
        <f>Table4[[#This Row],['# UTD with 
Partial Medical Exemption]]/Table4[[#This Row],['# of Students]]</f>
        <v>0</v>
      </c>
      <c r="G42">
        <v>31</v>
      </c>
      <c r="H42" s="3">
        <f>Table4[[#This Row],['# with Full 
Religous Exemption]]/Table4[[#This Row],['# of Students]]</f>
        <v>1.6187989556135769E-2</v>
      </c>
      <c r="I42">
        <v>0</v>
      </c>
      <c r="J42" s="3">
        <f>Table4[[#This Row],['# UTD with 
Partial Religious Exemption]]/Table4[[#This Row],['# of Students]]</f>
        <v>0</v>
      </c>
    </row>
    <row r="43" spans="1:10" x14ac:dyDescent="0.25">
      <c r="A43" t="s">
        <v>42</v>
      </c>
      <c r="B43">
        <v>1150</v>
      </c>
      <c r="C43">
        <v>1</v>
      </c>
      <c r="D43" s="3">
        <f>Table4[[#This Row],['# with Full 
Medical Exemption]]/Table4[[#This Row],['# of Students]]</f>
        <v>8.6956521739130438E-4</v>
      </c>
      <c r="E43">
        <v>0</v>
      </c>
      <c r="F43" s="3">
        <f>Table4[[#This Row],['# UTD with 
Partial Medical Exemption]]/Table4[[#This Row],['# of Students]]</f>
        <v>0</v>
      </c>
      <c r="G43">
        <v>12</v>
      </c>
      <c r="H43" s="3">
        <f>Table4[[#This Row],['# with Full 
Religous Exemption]]/Table4[[#This Row],['# of Students]]</f>
        <v>1.0434782608695653E-2</v>
      </c>
      <c r="I43">
        <v>0</v>
      </c>
      <c r="J43" s="3">
        <f>Table4[[#This Row],['# UTD with 
Partial Religious Exemption]]/Table4[[#This Row],['# of Students]]</f>
        <v>0</v>
      </c>
    </row>
    <row r="44" spans="1:10" x14ac:dyDescent="0.25">
      <c r="A44" t="s">
        <v>43</v>
      </c>
      <c r="B44">
        <v>96</v>
      </c>
      <c r="C44">
        <v>0</v>
      </c>
      <c r="D44" s="3">
        <f>Table4[[#This Row],['# with Full 
Medical Exemption]]/Table4[[#This Row],['# of Students]]</f>
        <v>0</v>
      </c>
      <c r="E44">
        <v>0</v>
      </c>
      <c r="F44" s="3">
        <f>Table4[[#This Row],['# UTD with 
Partial Medical Exemption]]/Table4[[#This Row],['# of Students]]</f>
        <v>0</v>
      </c>
      <c r="G44">
        <v>0</v>
      </c>
      <c r="H44" s="3">
        <f>Table4[[#This Row],['# with Full 
Religous Exemption]]/Table4[[#This Row],['# of Students]]</f>
        <v>0</v>
      </c>
      <c r="I44">
        <v>0</v>
      </c>
      <c r="J44" s="3">
        <f>Table4[[#This Row],['# UTD with 
Partial Religious Exemption]]/Table4[[#This Row],['# of Students]]</f>
        <v>0</v>
      </c>
    </row>
    <row r="45" spans="1:10" x14ac:dyDescent="0.25">
      <c r="A45" t="s">
        <v>44</v>
      </c>
      <c r="B45">
        <v>112</v>
      </c>
      <c r="C45">
        <v>0</v>
      </c>
      <c r="D45" s="3">
        <f>Table4[[#This Row],['# with Full 
Medical Exemption]]/Table4[[#This Row],['# of Students]]</f>
        <v>0</v>
      </c>
      <c r="E45">
        <v>1</v>
      </c>
      <c r="F45" s="3">
        <f>Table4[[#This Row],['# UTD with 
Partial Medical Exemption]]/Table4[[#This Row],['# of Students]]</f>
        <v>8.9285714285714281E-3</v>
      </c>
      <c r="G45">
        <v>1</v>
      </c>
      <c r="H45" s="3">
        <f>Table4[[#This Row],['# with Full 
Religous Exemption]]/Table4[[#This Row],['# of Students]]</f>
        <v>8.9285714285714281E-3</v>
      </c>
      <c r="I45">
        <v>0</v>
      </c>
      <c r="J45" s="3">
        <f>Table4[[#This Row],['# UTD with 
Partial Religious Exemption]]/Table4[[#This Row],['# of Students]]</f>
        <v>0</v>
      </c>
    </row>
    <row r="46" spans="1:10" x14ac:dyDescent="0.25">
      <c r="A46" t="s">
        <v>45</v>
      </c>
      <c r="B46">
        <v>4759</v>
      </c>
      <c r="C46">
        <v>5</v>
      </c>
      <c r="D46" s="3">
        <f>Table4[[#This Row],['# with Full 
Medical Exemption]]/Table4[[#This Row],['# of Students]]</f>
        <v>1.0506408909434755E-3</v>
      </c>
      <c r="E46">
        <v>0</v>
      </c>
      <c r="F46" s="3">
        <f>Table4[[#This Row],['# UTD with 
Partial Medical Exemption]]/Table4[[#This Row],['# of Students]]</f>
        <v>0</v>
      </c>
      <c r="G46">
        <v>59</v>
      </c>
      <c r="H46" s="3">
        <f>Table4[[#This Row],['# with Full 
Religous Exemption]]/Table4[[#This Row],['# of Students]]</f>
        <v>1.2397562513133011E-2</v>
      </c>
      <c r="I46">
        <v>1</v>
      </c>
      <c r="J46" s="3">
        <f>Table4[[#This Row],['# UTD with 
Partial Religious Exemption]]/Table4[[#This Row],['# of Students]]</f>
        <v>2.101281781886951E-4</v>
      </c>
    </row>
    <row r="47" spans="1:10" x14ac:dyDescent="0.25">
      <c r="A47" t="s">
        <v>46</v>
      </c>
      <c r="B47">
        <v>242</v>
      </c>
      <c r="C47">
        <v>0</v>
      </c>
      <c r="D47" s="3">
        <f>Table4[[#This Row],['# with Full 
Medical Exemption]]/Table4[[#This Row],['# of Students]]</f>
        <v>0</v>
      </c>
      <c r="E47">
        <v>1</v>
      </c>
      <c r="F47" s="3">
        <f>Table4[[#This Row],['# UTD with 
Partial Medical Exemption]]/Table4[[#This Row],['# of Students]]</f>
        <v>4.1322314049586778E-3</v>
      </c>
      <c r="G47">
        <v>1</v>
      </c>
      <c r="H47" s="3">
        <f>Table4[[#This Row],['# with Full 
Religous Exemption]]/Table4[[#This Row],['# of Students]]</f>
        <v>4.1322314049586778E-3</v>
      </c>
      <c r="I47">
        <v>0</v>
      </c>
      <c r="J47" s="3">
        <f>Table4[[#This Row],['# UTD with 
Partial Religious Exemption]]/Table4[[#This Row],['# of Students]]</f>
        <v>0</v>
      </c>
    </row>
    <row r="48" spans="1:10" x14ac:dyDescent="0.25">
      <c r="A48" t="s">
        <v>47</v>
      </c>
      <c r="B48">
        <v>334</v>
      </c>
      <c r="C48">
        <v>1</v>
      </c>
      <c r="D48" s="3">
        <f>Table4[[#This Row],['# with Full 
Medical Exemption]]/Table4[[#This Row],['# of Students]]</f>
        <v>2.9940119760479044E-3</v>
      </c>
      <c r="E48">
        <v>0</v>
      </c>
      <c r="F48" s="3">
        <f>Table4[[#This Row],['# UTD with 
Partial Medical Exemption]]/Table4[[#This Row],['# of Students]]</f>
        <v>0</v>
      </c>
      <c r="G48">
        <v>3</v>
      </c>
      <c r="H48" s="3">
        <f>Table4[[#This Row],['# with Full 
Religous Exemption]]/Table4[[#This Row],['# of Students]]</f>
        <v>8.9820359281437123E-3</v>
      </c>
      <c r="I48">
        <v>0</v>
      </c>
      <c r="J48" s="3">
        <f>Table4[[#This Row],['# UTD with 
Partial Religious Exemption]]/Table4[[#This Row],['# of Students]]</f>
        <v>0</v>
      </c>
    </row>
    <row r="49" spans="1:10" x14ac:dyDescent="0.25">
      <c r="A49" t="s">
        <v>48</v>
      </c>
      <c r="B49">
        <v>1252</v>
      </c>
      <c r="C49">
        <v>0</v>
      </c>
      <c r="D49" s="3">
        <f>Table4[[#This Row],['# with Full 
Medical Exemption]]/Table4[[#This Row],['# of Students]]</f>
        <v>0</v>
      </c>
      <c r="E49">
        <v>0</v>
      </c>
      <c r="F49" s="3">
        <f>Table4[[#This Row],['# UTD with 
Partial Medical Exemption]]/Table4[[#This Row],['# of Students]]</f>
        <v>0</v>
      </c>
      <c r="G49">
        <v>16</v>
      </c>
      <c r="H49" s="3">
        <f>Table4[[#This Row],['# with Full 
Religous Exemption]]/Table4[[#This Row],['# of Students]]</f>
        <v>1.2779552715654952E-2</v>
      </c>
      <c r="I49">
        <v>0</v>
      </c>
      <c r="J49" s="3">
        <f>Table4[[#This Row],['# UTD with 
Partial Religious Exemption]]/Table4[[#This Row],['# of Students]]</f>
        <v>0</v>
      </c>
    </row>
    <row r="50" spans="1:10" x14ac:dyDescent="0.25">
      <c r="A50" t="s">
        <v>49</v>
      </c>
      <c r="B50">
        <v>5075</v>
      </c>
      <c r="C50">
        <v>4</v>
      </c>
      <c r="D50" s="3">
        <f>Table4[[#This Row],['# with Full 
Medical Exemption]]/Table4[[#This Row],['# of Students]]</f>
        <v>7.8817733990147788E-4</v>
      </c>
      <c r="E50">
        <v>0</v>
      </c>
      <c r="F50" s="3">
        <f>Table4[[#This Row],['# UTD with 
Partial Medical Exemption]]/Table4[[#This Row],['# of Students]]</f>
        <v>0</v>
      </c>
      <c r="G50">
        <v>72</v>
      </c>
      <c r="H50" s="3">
        <f>Table4[[#This Row],['# with Full 
Religous Exemption]]/Table4[[#This Row],['# of Students]]</f>
        <v>1.4187192118226602E-2</v>
      </c>
      <c r="I50">
        <v>0</v>
      </c>
      <c r="J50" s="3">
        <f>Table4[[#This Row],['# UTD with 
Partial Religious Exemption]]/Table4[[#This Row],['# of Students]]</f>
        <v>0</v>
      </c>
    </row>
    <row r="51" spans="1:10" x14ac:dyDescent="0.25">
      <c r="A51" t="s">
        <v>50</v>
      </c>
      <c r="B51">
        <v>264</v>
      </c>
      <c r="C51">
        <v>0</v>
      </c>
      <c r="D51" s="3">
        <f>Table4[[#This Row],['# with Full 
Medical Exemption]]/Table4[[#This Row],['# of Students]]</f>
        <v>0</v>
      </c>
      <c r="E51">
        <v>0</v>
      </c>
      <c r="F51" s="3">
        <f>Table4[[#This Row],['# UTD with 
Partial Medical Exemption]]/Table4[[#This Row],['# of Students]]</f>
        <v>0</v>
      </c>
      <c r="G51">
        <v>5</v>
      </c>
      <c r="H51" s="3">
        <f>Table4[[#This Row],['# with Full 
Religous Exemption]]/Table4[[#This Row],['# of Students]]</f>
        <v>1.893939393939394E-2</v>
      </c>
      <c r="I51">
        <v>0</v>
      </c>
      <c r="J51" s="3">
        <f>Table4[[#This Row],['# UTD with 
Partial Religious Exemption]]/Table4[[#This Row],['# of Students]]</f>
        <v>0</v>
      </c>
    </row>
    <row r="52" spans="1:10" x14ac:dyDescent="0.25">
      <c r="A52" t="s">
        <v>51</v>
      </c>
      <c r="B52">
        <v>2357</v>
      </c>
      <c r="C52">
        <v>3</v>
      </c>
      <c r="D52" s="3">
        <f>Table4[[#This Row],['# with Full 
Medical Exemption]]/Table4[[#This Row],['# of Students]]</f>
        <v>1.2728044123886295E-3</v>
      </c>
      <c r="E52">
        <v>0</v>
      </c>
      <c r="F52" s="3">
        <f>Table4[[#This Row],['# UTD with 
Partial Medical Exemption]]/Table4[[#This Row],['# of Students]]</f>
        <v>0</v>
      </c>
      <c r="G52">
        <v>16</v>
      </c>
      <c r="H52" s="3">
        <f>Table4[[#This Row],['# with Full 
Religous Exemption]]/Table4[[#This Row],['# of Students]]</f>
        <v>6.7882901994060245E-3</v>
      </c>
      <c r="I52">
        <v>0</v>
      </c>
      <c r="J52" s="3">
        <f>Table4[[#This Row],['# UTD with 
Partial Religious Exemption]]/Table4[[#This Row],['# of Students]]</f>
        <v>0</v>
      </c>
    </row>
    <row r="53" spans="1:10" x14ac:dyDescent="0.25">
      <c r="A53" t="s">
        <v>52</v>
      </c>
      <c r="B53">
        <v>1467</v>
      </c>
      <c r="C53">
        <v>1</v>
      </c>
      <c r="D53" s="3">
        <f>Table4[[#This Row],['# with Full 
Medical Exemption]]/Table4[[#This Row],['# of Students]]</f>
        <v>6.8166325835037494E-4</v>
      </c>
      <c r="E53">
        <v>0</v>
      </c>
      <c r="F53" s="3">
        <f>Table4[[#This Row],['# UTD with 
Partial Medical Exemption]]/Table4[[#This Row],['# of Students]]</f>
        <v>0</v>
      </c>
      <c r="G53">
        <v>26</v>
      </c>
      <c r="H53" s="3">
        <f>Table4[[#This Row],['# with Full 
Religous Exemption]]/Table4[[#This Row],['# of Students]]</f>
        <v>1.7723244717109749E-2</v>
      </c>
      <c r="I53">
        <v>0</v>
      </c>
      <c r="J53" s="3">
        <f>Table4[[#This Row],['# UTD with 
Partial Religious Exemption]]/Table4[[#This Row],['# of Students]]</f>
        <v>0</v>
      </c>
    </row>
    <row r="54" spans="1:10" x14ac:dyDescent="0.25">
      <c r="A54" t="s">
        <v>53</v>
      </c>
      <c r="B54">
        <v>94</v>
      </c>
      <c r="C54">
        <v>0</v>
      </c>
      <c r="D54" s="3">
        <f>Table4[[#This Row],['# with Full 
Medical Exemption]]/Table4[[#This Row],['# of Students]]</f>
        <v>0</v>
      </c>
      <c r="E54">
        <v>0</v>
      </c>
      <c r="F54" s="3">
        <f>Table4[[#This Row],['# UTD with 
Partial Medical Exemption]]/Table4[[#This Row],['# of Students]]</f>
        <v>0</v>
      </c>
      <c r="G54">
        <v>0</v>
      </c>
      <c r="H54" s="3">
        <f>Table4[[#This Row],['# with Full 
Religous Exemption]]/Table4[[#This Row],['# of Students]]</f>
        <v>0</v>
      </c>
      <c r="I54">
        <v>0</v>
      </c>
      <c r="J54" s="3">
        <f>Table4[[#This Row],['# UTD with 
Partial Religious Exemption]]/Table4[[#This Row],['# of Students]]</f>
        <v>0</v>
      </c>
    </row>
    <row r="55" spans="1:10" x14ac:dyDescent="0.25">
      <c r="A55" t="s">
        <v>54</v>
      </c>
      <c r="B55">
        <v>177</v>
      </c>
      <c r="C55">
        <v>0</v>
      </c>
      <c r="D55" s="3">
        <f>Table4[[#This Row],['# with Full 
Medical Exemption]]/Table4[[#This Row],['# of Students]]</f>
        <v>0</v>
      </c>
      <c r="E55">
        <v>0</v>
      </c>
      <c r="F55" s="3">
        <f>Table4[[#This Row],['# UTD with 
Partial Medical Exemption]]/Table4[[#This Row],['# of Students]]</f>
        <v>0</v>
      </c>
      <c r="G55">
        <v>0</v>
      </c>
      <c r="H55" s="3">
        <f>Table4[[#This Row],['# with Full 
Religous Exemption]]/Table4[[#This Row],['# of Students]]</f>
        <v>0</v>
      </c>
      <c r="I55">
        <v>0</v>
      </c>
      <c r="J55" s="3">
        <f>Table4[[#This Row],['# UTD with 
Partial Religious Exemption]]/Table4[[#This Row],['# of Students]]</f>
        <v>0</v>
      </c>
    </row>
    <row r="56" spans="1:10" x14ac:dyDescent="0.25">
      <c r="A56" t="s">
        <v>55</v>
      </c>
      <c r="B56">
        <v>288</v>
      </c>
      <c r="C56">
        <v>0</v>
      </c>
      <c r="D56" s="3">
        <f>Table4[[#This Row],['# with Full 
Medical Exemption]]/Table4[[#This Row],['# of Students]]</f>
        <v>0</v>
      </c>
      <c r="E56">
        <v>0</v>
      </c>
      <c r="F56" s="3">
        <f>Table4[[#This Row],['# UTD with 
Partial Medical Exemption]]/Table4[[#This Row],['# of Students]]</f>
        <v>0</v>
      </c>
      <c r="G56">
        <v>4</v>
      </c>
      <c r="H56" s="3">
        <f>Table4[[#This Row],['# with Full 
Religous Exemption]]/Table4[[#This Row],['# of Students]]</f>
        <v>1.3888888888888888E-2</v>
      </c>
      <c r="I56">
        <v>0</v>
      </c>
      <c r="J56" s="3">
        <f>Table4[[#This Row],['# UTD with 
Partial Religious Exemption]]/Table4[[#This Row],['# of Students]]</f>
        <v>0</v>
      </c>
    </row>
    <row r="57" spans="1:10" x14ac:dyDescent="0.25">
      <c r="A57" t="s">
        <v>56</v>
      </c>
      <c r="B57">
        <v>231</v>
      </c>
      <c r="C57">
        <v>0</v>
      </c>
      <c r="D57" s="3">
        <f>Table4[[#This Row],['# with Full 
Medical Exemption]]/Table4[[#This Row],['# of Students]]</f>
        <v>0</v>
      </c>
      <c r="E57">
        <v>0</v>
      </c>
      <c r="F57" s="3">
        <f>Table4[[#This Row],['# UTD with 
Partial Medical Exemption]]/Table4[[#This Row],['# of Students]]</f>
        <v>0</v>
      </c>
      <c r="G57">
        <v>1</v>
      </c>
      <c r="H57" s="3">
        <f>Table4[[#This Row],['# with Full 
Religous Exemption]]/Table4[[#This Row],['# of Students]]</f>
        <v>4.329004329004329E-3</v>
      </c>
      <c r="I57">
        <v>0</v>
      </c>
      <c r="J57" s="3">
        <f>Table4[[#This Row],['# UTD with 
Partial Religious Exemption]]/Table4[[#This Row],['# of Students]]</f>
        <v>0</v>
      </c>
    </row>
    <row r="58" spans="1:10" x14ac:dyDescent="0.25">
      <c r="A58" t="s">
        <v>57</v>
      </c>
      <c r="B58">
        <v>921</v>
      </c>
      <c r="C58">
        <v>0</v>
      </c>
      <c r="D58" s="3">
        <f>Table4[[#This Row],['# with Full 
Medical Exemption]]/Table4[[#This Row],['# of Students]]</f>
        <v>0</v>
      </c>
      <c r="E58">
        <v>0</v>
      </c>
      <c r="F58" s="3">
        <f>Table4[[#This Row],['# UTD with 
Partial Medical Exemption]]/Table4[[#This Row],['# of Students]]</f>
        <v>0</v>
      </c>
      <c r="G58">
        <v>2</v>
      </c>
      <c r="H58" s="3">
        <f>Table4[[#This Row],['# with Full 
Religous Exemption]]/Table4[[#This Row],['# of Students]]</f>
        <v>2.1715526601520088E-3</v>
      </c>
      <c r="I58">
        <v>0</v>
      </c>
      <c r="J58" s="3">
        <f>Table4[[#This Row],['# UTD with 
Partial Religious Exemption]]/Table4[[#This Row],['# of Students]]</f>
        <v>0</v>
      </c>
    </row>
    <row r="59" spans="1:10" x14ac:dyDescent="0.25">
      <c r="A59" t="s">
        <v>58</v>
      </c>
      <c r="B59">
        <v>3390</v>
      </c>
      <c r="C59">
        <v>2</v>
      </c>
      <c r="D59" s="3">
        <f>Table4[[#This Row],['# with Full 
Medical Exemption]]/Table4[[#This Row],['# of Students]]</f>
        <v>5.8997050147492625E-4</v>
      </c>
      <c r="E59">
        <v>0</v>
      </c>
      <c r="F59" s="3">
        <f>Table4[[#This Row],['# UTD with 
Partial Medical Exemption]]/Table4[[#This Row],['# of Students]]</f>
        <v>0</v>
      </c>
      <c r="G59">
        <v>55</v>
      </c>
      <c r="H59" s="3">
        <f>Table4[[#This Row],['# with Full 
Religous Exemption]]/Table4[[#This Row],['# of Students]]</f>
        <v>1.6224188790560472E-2</v>
      </c>
      <c r="I59">
        <v>0</v>
      </c>
      <c r="J59" s="3">
        <f>Table4[[#This Row],['# UTD with 
Partial Religious Exemption]]/Table4[[#This Row],['# of Students]]</f>
        <v>0</v>
      </c>
    </row>
    <row r="60" spans="1:10" x14ac:dyDescent="0.25">
      <c r="A60" t="s">
        <v>77</v>
      </c>
      <c r="B60">
        <v>1029</v>
      </c>
      <c r="C60">
        <v>4</v>
      </c>
      <c r="D60" s="3">
        <f>Table4[[#This Row],['# with Full 
Medical Exemption]]/Table4[[#This Row],['# of Students]]</f>
        <v>3.8872691933916422E-3</v>
      </c>
      <c r="E60">
        <v>0</v>
      </c>
      <c r="F60" s="3">
        <f>Table4[[#This Row],['# UTD with 
Partial Medical Exemption]]/Table4[[#This Row],['# of Students]]</f>
        <v>0</v>
      </c>
      <c r="G60">
        <v>18</v>
      </c>
      <c r="H60" s="3">
        <f>Table4[[#This Row],['# with Full 
Religous Exemption]]/Table4[[#This Row],['# of Students]]</f>
        <v>1.7492711370262391E-2</v>
      </c>
      <c r="I60">
        <v>0</v>
      </c>
      <c r="J60" s="3">
        <f>Table4[[#This Row],['# UTD with 
Partial Religious Exemption]]/Table4[[#This Row],['# of Students]]</f>
        <v>0</v>
      </c>
    </row>
    <row r="61" spans="1:10" x14ac:dyDescent="0.25">
      <c r="A61" t="s">
        <v>60</v>
      </c>
      <c r="B61">
        <v>108</v>
      </c>
      <c r="C61">
        <v>0</v>
      </c>
      <c r="D61" s="3">
        <f>Table4[[#This Row],['# with Full 
Medical Exemption]]/Table4[[#This Row],['# of Students]]</f>
        <v>0</v>
      </c>
      <c r="E61">
        <v>0</v>
      </c>
      <c r="F61" s="3">
        <f>Table4[[#This Row],['# UTD with 
Partial Medical Exemption]]/Table4[[#This Row],['# of Students]]</f>
        <v>0</v>
      </c>
      <c r="G61">
        <v>2</v>
      </c>
      <c r="H61" s="3">
        <f>Table4[[#This Row],['# with Full 
Religous Exemption]]/Table4[[#This Row],['# of Students]]</f>
        <v>1.8518518518518517E-2</v>
      </c>
      <c r="I61">
        <v>0</v>
      </c>
      <c r="J61" s="3">
        <f>Table4[[#This Row],['# UTD with 
Partial Religious Exemption]]/Table4[[#This Row],['# of Students]]</f>
        <v>0</v>
      </c>
    </row>
    <row r="62" spans="1:10" x14ac:dyDescent="0.25">
      <c r="A62" t="s">
        <v>61</v>
      </c>
      <c r="B62">
        <v>803</v>
      </c>
      <c r="C62">
        <v>1</v>
      </c>
      <c r="D62" s="3">
        <f>Table4[[#This Row],['# with Full 
Medical Exemption]]/Table4[[#This Row],['# of Students]]</f>
        <v>1.2453300124533001E-3</v>
      </c>
      <c r="E62">
        <v>0</v>
      </c>
      <c r="F62" s="3">
        <f>Table4[[#This Row],['# UTD with 
Partial Medical Exemption]]/Table4[[#This Row],['# of Students]]</f>
        <v>0</v>
      </c>
      <c r="G62">
        <v>4</v>
      </c>
      <c r="H62" s="3">
        <f>Table4[[#This Row],['# with Full 
Religous Exemption]]/Table4[[#This Row],['# of Students]]</f>
        <v>4.9813200498132005E-3</v>
      </c>
      <c r="I62">
        <v>0</v>
      </c>
      <c r="J62" s="3">
        <f>Table4[[#This Row],['# UTD with 
Partial Religious Exemption]]/Table4[[#This Row],['# of Students]]</f>
        <v>0</v>
      </c>
    </row>
    <row r="63" spans="1:10" x14ac:dyDescent="0.25">
      <c r="A63" t="s">
        <v>62</v>
      </c>
      <c r="B63">
        <v>405</v>
      </c>
      <c r="C63">
        <v>2</v>
      </c>
      <c r="D63" s="3">
        <f>Table4[[#This Row],['# with Full 
Medical Exemption]]/Table4[[#This Row],['# of Students]]</f>
        <v>4.9382716049382715E-3</v>
      </c>
      <c r="E63">
        <v>0</v>
      </c>
      <c r="F63" s="3">
        <f>Table4[[#This Row],['# UTD with 
Partial Medical Exemption]]/Table4[[#This Row],['# of Students]]</f>
        <v>0</v>
      </c>
      <c r="G63">
        <v>4</v>
      </c>
      <c r="H63" s="3">
        <f>Table4[[#This Row],['# with Full 
Religous Exemption]]/Table4[[#This Row],['# of Students]]</f>
        <v>9.876543209876543E-3</v>
      </c>
      <c r="I63">
        <v>0</v>
      </c>
      <c r="J63" s="3">
        <f>Table4[[#This Row],['# UTD with 
Partial Religious Exemption]]/Table4[[#This Row],['# of Students]]</f>
        <v>0</v>
      </c>
    </row>
    <row r="64" spans="1:10" x14ac:dyDescent="0.25">
      <c r="A64" t="s">
        <v>63</v>
      </c>
      <c r="B64">
        <v>2218</v>
      </c>
      <c r="C64">
        <v>2</v>
      </c>
      <c r="D64" s="3">
        <f>Table4[[#This Row],['# with Full 
Medical Exemption]]/Table4[[#This Row],['# of Students]]</f>
        <v>9.0171325518485117E-4</v>
      </c>
      <c r="E64">
        <v>0</v>
      </c>
      <c r="F64" s="3">
        <f>Table4[[#This Row],['# UTD with 
Partial Medical Exemption]]/Table4[[#This Row],['# of Students]]</f>
        <v>0</v>
      </c>
      <c r="G64">
        <v>24</v>
      </c>
      <c r="H64" s="3">
        <f>Table4[[#This Row],['# with Full 
Religous Exemption]]/Table4[[#This Row],['# of Students]]</f>
        <v>1.0820559062218215E-2</v>
      </c>
      <c r="I64">
        <v>0</v>
      </c>
      <c r="J64" s="3">
        <f>Table4[[#This Row],['# UTD with 
Partial Religious Exemption]]/Table4[[#This Row],['# of Students]]</f>
        <v>0</v>
      </c>
    </row>
    <row r="65" spans="1:10" x14ac:dyDescent="0.25">
      <c r="A65" t="s">
        <v>64</v>
      </c>
      <c r="B65">
        <v>719</v>
      </c>
      <c r="C65">
        <v>2</v>
      </c>
      <c r="D65" s="3">
        <f>Table4[[#This Row],['# with Full 
Medical Exemption]]/Table4[[#This Row],['# of Students]]</f>
        <v>2.7816411682892906E-3</v>
      </c>
      <c r="E65">
        <v>0</v>
      </c>
      <c r="F65" s="3">
        <f>Table4[[#This Row],['# UTD with 
Partial Medical Exemption]]/Table4[[#This Row],['# of Students]]</f>
        <v>0</v>
      </c>
      <c r="G65">
        <v>2</v>
      </c>
      <c r="H65" s="3">
        <f>Table4[[#This Row],['# with Full 
Religous Exemption]]/Table4[[#This Row],['# of Students]]</f>
        <v>2.7816411682892906E-3</v>
      </c>
      <c r="I65">
        <v>0</v>
      </c>
      <c r="J65" s="3">
        <f>Table4[[#This Row],['# UTD with 
Partial Religious Exemption]]/Table4[[#This Row],['# of Students]]</f>
        <v>0</v>
      </c>
    </row>
    <row r="66" spans="1:10" x14ac:dyDescent="0.25">
      <c r="A66" t="s">
        <v>65</v>
      </c>
      <c r="B66">
        <v>173</v>
      </c>
      <c r="C66">
        <v>0</v>
      </c>
      <c r="D66" s="3">
        <f>Table4[[#This Row],['# with Full 
Medical Exemption]]/Table4[[#This Row],['# of Students]]</f>
        <v>0</v>
      </c>
      <c r="E66">
        <v>0</v>
      </c>
      <c r="F66" s="3">
        <f>Table4[[#This Row],['# UTD with 
Partial Medical Exemption]]/Table4[[#This Row],['# of Students]]</f>
        <v>0</v>
      </c>
      <c r="G66">
        <v>2</v>
      </c>
      <c r="H66" s="3">
        <f>Table4[[#This Row],['# with Full 
Religous Exemption]]/Table4[[#This Row],['# of Students]]</f>
        <v>1.1560693641618497E-2</v>
      </c>
      <c r="I66">
        <v>0</v>
      </c>
      <c r="J66" s="3">
        <f>Table4[[#This Row],['# UTD with 
Partial Religious Exemption]]/Table4[[#This Row],['# of Students]]</f>
        <v>0</v>
      </c>
    </row>
    <row r="67" spans="1:10" x14ac:dyDescent="0.25">
      <c r="A67" t="s">
        <v>66</v>
      </c>
      <c r="B67">
        <v>88</v>
      </c>
      <c r="C67">
        <v>0</v>
      </c>
      <c r="D67" s="3">
        <f>Table4[[#This Row],['# with Full 
Medical Exemption]]/Table4[[#This Row],['# of Students]]</f>
        <v>0</v>
      </c>
      <c r="E67">
        <v>0</v>
      </c>
      <c r="F67" s="3">
        <f>Table4[[#This Row],['# UTD with 
Partial Medical Exemption]]/Table4[[#This Row],['# of Students]]</f>
        <v>0</v>
      </c>
      <c r="G67">
        <v>0</v>
      </c>
      <c r="H67" s="3">
        <f>Table4[[#This Row],['# with Full 
Religous Exemption]]/Table4[[#This Row],['# of Students]]</f>
        <v>0</v>
      </c>
      <c r="I67">
        <v>0</v>
      </c>
      <c r="J67" s="3">
        <f>Table4[[#This Row],['# UTD with 
Partial Religious Exemption]]/Table4[[#This Row],['# of Students]]</f>
        <v>0</v>
      </c>
    </row>
    <row r="68" spans="1:10" x14ac:dyDescent="0.25">
      <c r="A68" t="s">
        <v>67</v>
      </c>
      <c r="B68">
        <v>280</v>
      </c>
      <c r="C68">
        <v>0</v>
      </c>
      <c r="D68" s="3">
        <f>Table4[[#This Row],['# with Full 
Medical Exemption]]/Table4[[#This Row],['# of Students]]</f>
        <v>0</v>
      </c>
      <c r="E68">
        <v>0</v>
      </c>
      <c r="F68" s="3">
        <f>Table4[[#This Row],['# UTD with 
Partial Medical Exemption]]/Table4[[#This Row],['# of Students]]</f>
        <v>0</v>
      </c>
      <c r="G68">
        <v>3</v>
      </c>
      <c r="H68" s="3">
        <f>Table4[[#This Row],['# with Full 
Religous Exemption]]/Table4[[#This Row],['# of Students]]</f>
        <v>1.0714285714285714E-2</v>
      </c>
      <c r="I68">
        <v>0</v>
      </c>
      <c r="J68" s="3">
        <f>Table4[[#This Row],['# UTD with 
Partial Religious Exemption]]/Table4[[#This Row],['# of Students]]</f>
        <v>0</v>
      </c>
    </row>
    <row r="69" spans="1:10" x14ac:dyDescent="0.25">
      <c r="B69">
        <f>SUBTOTAL(109,Table4['# of Students])</f>
        <v>58118</v>
      </c>
      <c r="C69">
        <f>SUBTOTAL(109,Table4['# with Full 
Medical Exemption])</f>
        <v>58</v>
      </c>
      <c r="D69" s="3">
        <f>Table4[[#Totals],['# with Full 
Medical Exemption]]/Table4[[#Totals],['# of Students]]</f>
        <v>9.979696479576034E-4</v>
      </c>
      <c r="E69">
        <f>SUBTOTAL(109,Table4['# UTD with 
Partial Medical Exemption])</f>
        <v>5</v>
      </c>
      <c r="F69" s="3">
        <f>Table4[[#Totals],['# UTD with 
Partial Medical Exemption]]/Table4[[#Totals],['# of Students]]</f>
        <v>8.6031866203241679E-5</v>
      </c>
      <c r="G69">
        <f>SUBTOTAL(109,Table4['# with Full 
Religous Exemption])</f>
        <v>736</v>
      </c>
      <c r="H69" s="3">
        <f>Table4[[#Totals],['# with Full 
Religous Exemption]]/Table4[[#Totals],['# of Students]]</f>
        <v>1.2663890705117175E-2</v>
      </c>
      <c r="I69">
        <f>SUBTOTAL(109,Table4['# UTD with 
Partial Religious Exemption])</f>
        <v>3</v>
      </c>
      <c r="J69" s="3">
        <f>Table4[[#Totals],['# UTD with 
Partial Religious Exemption]]/Table4[[#Totals],['# of Students]]</f>
        <v>5.1619119721945006E-5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4576-CC32-4E92-BB1A-CEDD6A20A626}">
  <dimension ref="A1:J69"/>
  <sheetViews>
    <sheetView workbookViewId="0">
      <selection activeCell="D26" sqref="D26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31.7109375" bestFit="1" customWidth="1"/>
    <col min="4" max="4" width="20.7109375" bestFit="1" customWidth="1"/>
    <col min="5" max="5" width="27" bestFit="1" customWidth="1"/>
    <col min="6" max="6" width="25.85546875" style="3" bestFit="1" customWidth="1"/>
    <col min="7" max="7" width="21.140625" bestFit="1" customWidth="1"/>
    <col min="8" max="8" width="21.140625" style="3" bestFit="1" customWidth="1"/>
    <col min="9" max="9" width="28.140625" bestFit="1" customWidth="1"/>
    <col min="10" max="10" width="28.140625" style="3" bestFit="1" customWidth="1"/>
  </cols>
  <sheetData>
    <row r="1" spans="1:10" ht="30" x14ac:dyDescent="0.25">
      <c r="A1" t="s">
        <v>0</v>
      </c>
      <c r="B1" t="s">
        <v>68</v>
      </c>
      <c r="C1" t="s">
        <v>69</v>
      </c>
      <c r="D1" s="1" t="s">
        <v>70</v>
      </c>
      <c r="E1" s="1" t="s">
        <v>71</v>
      </c>
      <c r="F1" s="2" t="s">
        <v>72</v>
      </c>
      <c r="G1" s="1" t="s">
        <v>73</v>
      </c>
      <c r="H1" s="2" t="s">
        <v>74</v>
      </c>
      <c r="I1" s="1" t="s">
        <v>75</v>
      </c>
      <c r="J1" s="2" t="s">
        <v>76</v>
      </c>
    </row>
    <row r="2" spans="1:10" x14ac:dyDescent="0.25">
      <c r="A2" t="s">
        <v>1</v>
      </c>
      <c r="B2">
        <v>613</v>
      </c>
      <c r="C2">
        <v>0</v>
      </c>
      <c r="D2" s="3">
        <f>Table5[[#This Row],['# with Full 
Medical Exemption]]/Table5[[#This Row],['# of Students]]</f>
        <v>0</v>
      </c>
      <c r="E2">
        <v>0</v>
      </c>
      <c r="F2" s="3">
        <f>Table5[[#This Row],['# UTD with 
Partial Medical Exemption]]/Table5[[#This Row],['# of Students]]</f>
        <v>0</v>
      </c>
      <c r="G2">
        <v>15</v>
      </c>
      <c r="H2" s="3">
        <f>Table5[[#This Row],['# with Full 
Religous Exemption]]/Table5[[#This Row],['# of Students]]</f>
        <v>2.4469820554649267E-2</v>
      </c>
      <c r="I2">
        <v>0</v>
      </c>
      <c r="J2" s="3">
        <f>Table5[[#This Row],['# UTD with 
Partial Religious Exemption]]/Table5[[#This Row],['# of Students]]</f>
        <v>0</v>
      </c>
    </row>
    <row r="3" spans="1:10" x14ac:dyDescent="0.25">
      <c r="A3" t="s">
        <v>2</v>
      </c>
      <c r="B3">
        <v>2908</v>
      </c>
      <c r="C3">
        <v>6</v>
      </c>
      <c r="D3" s="3">
        <f>Table5[[#This Row],['# with Full 
Medical Exemption]]/Table5[[#This Row],['# of Students]]</f>
        <v>2.0632737276478678E-3</v>
      </c>
      <c r="E3">
        <v>5</v>
      </c>
      <c r="F3" s="3">
        <f>Table5[[#This Row],['# UTD with 
Partial Medical Exemption]]/Table5[[#This Row],['# of Students]]</f>
        <v>1.7193947730398899E-3</v>
      </c>
      <c r="G3">
        <v>90</v>
      </c>
      <c r="H3" s="3">
        <f>Table5[[#This Row],['# with Full 
Religous Exemption]]/Table5[[#This Row],['# of Students]]</f>
        <v>3.0949105914718018E-2</v>
      </c>
      <c r="I3">
        <v>0</v>
      </c>
      <c r="J3" s="3">
        <f>Table5[[#This Row],['# UTD with 
Partial Religious Exemption]]/Table5[[#This Row],['# of Students]]</f>
        <v>0</v>
      </c>
    </row>
    <row r="4" spans="1:10" x14ac:dyDescent="0.25">
      <c r="A4" t="s">
        <v>3</v>
      </c>
      <c r="B4">
        <v>633</v>
      </c>
      <c r="C4">
        <v>0</v>
      </c>
      <c r="D4" s="3">
        <f>Table5[[#This Row],['# with Full 
Medical Exemption]]/Table5[[#This Row],['# of Students]]</f>
        <v>0</v>
      </c>
      <c r="E4">
        <v>0</v>
      </c>
      <c r="F4" s="3">
        <f>Table5[[#This Row],['# UTD with 
Partial Medical Exemption]]/Table5[[#This Row],['# of Students]]</f>
        <v>0</v>
      </c>
      <c r="G4">
        <v>24</v>
      </c>
      <c r="H4" s="3">
        <f>Table5[[#This Row],['# with Full 
Religous Exemption]]/Table5[[#This Row],['# of Students]]</f>
        <v>3.7914691943127965E-2</v>
      </c>
      <c r="I4">
        <v>1</v>
      </c>
      <c r="J4" s="3">
        <f>Table5[[#This Row],['# UTD with 
Partial Religious Exemption]]/Table5[[#This Row],['# of Students]]</f>
        <v>1.5797788309636651E-3</v>
      </c>
    </row>
    <row r="5" spans="1:10" x14ac:dyDescent="0.25">
      <c r="A5" t="s">
        <v>4</v>
      </c>
      <c r="B5">
        <v>206</v>
      </c>
      <c r="C5">
        <v>0</v>
      </c>
      <c r="D5" s="3">
        <f>Table5[[#This Row],['# with Full 
Medical Exemption]]/Table5[[#This Row],['# of Students]]</f>
        <v>0</v>
      </c>
      <c r="E5">
        <v>0</v>
      </c>
      <c r="F5" s="3">
        <f>Table5[[#This Row],['# UTD with 
Partial Medical Exemption]]/Table5[[#This Row],['# of Students]]</f>
        <v>0</v>
      </c>
      <c r="G5">
        <v>4</v>
      </c>
      <c r="H5" s="3">
        <f>Table5[[#This Row],['# with Full 
Religous Exemption]]/Table5[[#This Row],['# of Students]]</f>
        <v>1.9417475728155338E-2</v>
      </c>
      <c r="I5">
        <v>0</v>
      </c>
      <c r="J5" s="3">
        <f>Table5[[#This Row],['# UTD with 
Partial Religious Exemption]]/Table5[[#This Row],['# of Students]]</f>
        <v>0</v>
      </c>
    </row>
    <row r="6" spans="1:10" x14ac:dyDescent="0.25">
      <c r="A6" t="s">
        <v>5</v>
      </c>
      <c r="B6">
        <v>690</v>
      </c>
      <c r="C6">
        <v>1</v>
      </c>
      <c r="D6" s="3">
        <f>Table5[[#This Row],['# with Full 
Medical Exemption]]/Table5[[#This Row],['# of Students]]</f>
        <v>1.4492753623188406E-3</v>
      </c>
      <c r="E6">
        <v>2</v>
      </c>
      <c r="F6" s="3">
        <f>Table5[[#This Row],['# UTD with 
Partial Medical Exemption]]/Table5[[#This Row],['# of Students]]</f>
        <v>2.8985507246376812E-3</v>
      </c>
      <c r="G6">
        <v>12</v>
      </c>
      <c r="H6" s="3">
        <f>Table5[[#This Row],['# with Full 
Religous Exemption]]/Table5[[#This Row],['# of Students]]</f>
        <v>1.7391304347826087E-2</v>
      </c>
      <c r="I6">
        <v>0</v>
      </c>
      <c r="J6" s="3">
        <f>Table5[[#This Row],['# UTD with 
Partial Religious Exemption]]/Table5[[#This Row],['# of Students]]</f>
        <v>0</v>
      </c>
    </row>
    <row r="7" spans="1:10" x14ac:dyDescent="0.25">
      <c r="A7" t="s">
        <v>6</v>
      </c>
      <c r="B7">
        <v>107</v>
      </c>
      <c r="C7">
        <v>0</v>
      </c>
      <c r="D7" s="3">
        <f>Table5[[#This Row],['# with Full 
Medical Exemption]]/Table5[[#This Row],['# of Students]]</f>
        <v>0</v>
      </c>
      <c r="E7">
        <v>0</v>
      </c>
      <c r="F7" s="3">
        <f>Table5[[#This Row],['# UTD with 
Partial Medical Exemption]]/Table5[[#This Row],['# of Students]]</f>
        <v>0</v>
      </c>
      <c r="G7">
        <v>0</v>
      </c>
      <c r="H7" s="3">
        <f>Table5[[#This Row],['# with Full 
Religous Exemption]]/Table5[[#This Row],['# of Students]]</f>
        <v>0</v>
      </c>
      <c r="I7">
        <v>0</v>
      </c>
      <c r="J7" s="3">
        <f>Table5[[#This Row],['# UTD with 
Partial Religious Exemption]]/Table5[[#This Row],['# of Students]]</f>
        <v>0</v>
      </c>
    </row>
    <row r="8" spans="1:10" x14ac:dyDescent="0.25">
      <c r="A8" t="s">
        <v>7</v>
      </c>
      <c r="B8">
        <v>233</v>
      </c>
      <c r="C8">
        <v>0</v>
      </c>
      <c r="D8" s="3">
        <f>Table5[[#This Row],['# with Full 
Medical Exemption]]/Table5[[#This Row],['# of Students]]</f>
        <v>0</v>
      </c>
      <c r="E8">
        <v>0</v>
      </c>
      <c r="F8" s="3">
        <f>Table5[[#This Row],['# UTD with 
Partial Medical Exemption]]/Table5[[#This Row],['# of Students]]</f>
        <v>0</v>
      </c>
      <c r="G8">
        <v>4</v>
      </c>
      <c r="H8" s="3">
        <f>Table5[[#This Row],['# with Full 
Religous Exemption]]/Table5[[#This Row],['# of Students]]</f>
        <v>1.7167381974248927E-2</v>
      </c>
      <c r="I8">
        <v>0</v>
      </c>
      <c r="J8" s="3">
        <f>Table5[[#This Row],['# UTD with 
Partial Religious Exemption]]/Table5[[#This Row],['# of Students]]</f>
        <v>0</v>
      </c>
    </row>
    <row r="9" spans="1:10" x14ac:dyDescent="0.25">
      <c r="A9" t="s">
        <v>8</v>
      </c>
      <c r="B9">
        <v>1229</v>
      </c>
      <c r="C9">
        <v>1</v>
      </c>
      <c r="D9" s="3">
        <f>Table5[[#This Row],['# with Full 
Medical Exemption]]/Table5[[#This Row],['# of Students]]</f>
        <v>8.1366965012205042E-4</v>
      </c>
      <c r="E9">
        <v>0</v>
      </c>
      <c r="F9" s="3">
        <f>Table5[[#This Row],['# UTD with 
Partial Medical Exemption]]/Table5[[#This Row],['# of Students]]</f>
        <v>0</v>
      </c>
      <c r="G9">
        <v>19</v>
      </c>
      <c r="H9" s="3">
        <f>Table5[[#This Row],['# with Full 
Religous Exemption]]/Table5[[#This Row],['# of Students]]</f>
        <v>1.5459723352318959E-2</v>
      </c>
      <c r="I9">
        <v>0</v>
      </c>
      <c r="J9" s="3">
        <f>Table5[[#This Row],['# UTD with 
Partial Religious Exemption]]/Table5[[#This Row],['# of Students]]</f>
        <v>0</v>
      </c>
    </row>
    <row r="10" spans="1:10" x14ac:dyDescent="0.25">
      <c r="A10" t="s">
        <v>9</v>
      </c>
      <c r="B10">
        <v>327</v>
      </c>
      <c r="C10">
        <v>0</v>
      </c>
      <c r="D10" s="3">
        <f>Table5[[#This Row],['# with Full 
Medical Exemption]]/Table5[[#This Row],['# of Students]]</f>
        <v>0</v>
      </c>
      <c r="E10">
        <v>0</v>
      </c>
      <c r="F10" s="3">
        <f>Table5[[#This Row],['# UTD with 
Partial Medical Exemption]]/Table5[[#This Row],['# of Students]]</f>
        <v>0</v>
      </c>
      <c r="G10">
        <v>1</v>
      </c>
      <c r="H10" s="3">
        <f>Table5[[#This Row],['# with Full 
Religous Exemption]]/Table5[[#This Row],['# of Students]]</f>
        <v>3.0581039755351682E-3</v>
      </c>
      <c r="I10">
        <v>0</v>
      </c>
      <c r="J10" s="3">
        <f>Table5[[#This Row],['# UTD with 
Partial Religious Exemption]]/Table5[[#This Row],['# of Students]]</f>
        <v>0</v>
      </c>
    </row>
    <row r="11" spans="1:10" x14ac:dyDescent="0.25">
      <c r="A11" t="s">
        <v>10</v>
      </c>
      <c r="B11">
        <v>293</v>
      </c>
      <c r="C11">
        <v>0</v>
      </c>
      <c r="D11" s="3">
        <f>Table5[[#This Row],['# with Full 
Medical Exemption]]/Table5[[#This Row],['# of Students]]</f>
        <v>0</v>
      </c>
      <c r="E11">
        <v>0</v>
      </c>
      <c r="F11" s="3">
        <f>Table5[[#This Row],['# UTD with 
Partial Medical Exemption]]/Table5[[#This Row],['# of Students]]</f>
        <v>0</v>
      </c>
      <c r="G11">
        <v>3</v>
      </c>
      <c r="H11" s="3">
        <f>Table5[[#This Row],['# with Full 
Religous Exemption]]/Table5[[#This Row],['# of Students]]</f>
        <v>1.0238907849829351E-2</v>
      </c>
      <c r="I11">
        <v>0</v>
      </c>
      <c r="J11" s="3">
        <f>Table5[[#This Row],['# UTD with 
Partial Religious Exemption]]/Table5[[#This Row],['# of Students]]</f>
        <v>0</v>
      </c>
    </row>
    <row r="12" spans="1:10" x14ac:dyDescent="0.25">
      <c r="A12" t="s">
        <v>11</v>
      </c>
      <c r="B12">
        <v>583</v>
      </c>
      <c r="C12">
        <v>1</v>
      </c>
      <c r="D12" s="3">
        <f>Table5[[#This Row],['# with Full 
Medical Exemption]]/Table5[[#This Row],['# of Students]]</f>
        <v>1.7152658662092624E-3</v>
      </c>
      <c r="E12">
        <v>0</v>
      </c>
      <c r="F12" s="3">
        <f>Table5[[#This Row],['# UTD with 
Partial Medical Exemption]]/Table5[[#This Row],['# of Students]]</f>
        <v>0</v>
      </c>
      <c r="G12">
        <v>5</v>
      </c>
      <c r="H12" s="3">
        <f>Table5[[#This Row],['# with Full 
Religous Exemption]]/Table5[[#This Row],['# of Students]]</f>
        <v>8.5763293310463125E-3</v>
      </c>
      <c r="I12">
        <v>0</v>
      </c>
      <c r="J12" s="3">
        <f>Table5[[#This Row],['# UTD with 
Partial Religious Exemption]]/Table5[[#This Row],['# of Students]]</f>
        <v>0</v>
      </c>
    </row>
    <row r="13" spans="1:10" x14ac:dyDescent="0.25">
      <c r="A13" t="s">
        <v>12</v>
      </c>
      <c r="B13">
        <v>88</v>
      </c>
      <c r="C13">
        <v>0</v>
      </c>
      <c r="D13" s="3">
        <f>Table5[[#This Row],['# with Full 
Medical Exemption]]/Table5[[#This Row],['# of Students]]</f>
        <v>0</v>
      </c>
      <c r="E13">
        <v>0</v>
      </c>
      <c r="F13" s="3">
        <f>Table5[[#This Row],['# UTD with 
Partial Medical Exemption]]/Table5[[#This Row],['# of Students]]</f>
        <v>0</v>
      </c>
      <c r="G13">
        <v>0</v>
      </c>
      <c r="H13" s="3">
        <f>Table5[[#This Row],['# with Full 
Religous Exemption]]/Table5[[#This Row],['# of Students]]</f>
        <v>0</v>
      </c>
      <c r="I13">
        <v>0</v>
      </c>
      <c r="J13" s="3">
        <f>Table5[[#This Row],['# UTD with 
Partial Religious Exemption]]/Table5[[#This Row],['# of Students]]</f>
        <v>0</v>
      </c>
    </row>
    <row r="14" spans="1:10" x14ac:dyDescent="0.25">
      <c r="A14" t="s">
        <v>13</v>
      </c>
      <c r="B14">
        <v>251</v>
      </c>
      <c r="C14">
        <v>0</v>
      </c>
      <c r="D14" s="3">
        <f>Table5[[#This Row],['# with Full 
Medical Exemption]]/Table5[[#This Row],['# of Students]]</f>
        <v>0</v>
      </c>
      <c r="E14">
        <v>0</v>
      </c>
      <c r="F14" s="3">
        <f>Table5[[#This Row],['# UTD with 
Partial Medical Exemption]]/Table5[[#This Row],['# of Students]]</f>
        <v>0</v>
      </c>
      <c r="G14">
        <v>6</v>
      </c>
      <c r="H14" s="3">
        <f>Table5[[#This Row],['# with Full 
Religous Exemption]]/Table5[[#This Row],['# of Students]]</f>
        <v>2.3904382470119521E-2</v>
      </c>
      <c r="I14">
        <v>0</v>
      </c>
      <c r="J14" s="3">
        <f>Table5[[#This Row],['# UTD with 
Partial Religious Exemption]]/Table5[[#This Row],['# of Students]]</f>
        <v>0</v>
      </c>
    </row>
    <row r="15" spans="1:10" x14ac:dyDescent="0.25">
      <c r="A15" t="s">
        <v>14</v>
      </c>
      <c r="B15">
        <v>157</v>
      </c>
      <c r="C15">
        <v>0</v>
      </c>
      <c r="D15" s="3">
        <f>Table5[[#This Row],['# with Full 
Medical Exemption]]/Table5[[#This Row],['# of Students]]</f>
        <v>0</v>
      </c>
      <c r="E15">
        <v>0</v>
      </c>
      <c r="F15" s="3">
        <f>Table5[[#This Row],['# UTD with 
Partial Medical Exemption]]/Table5[[#This Row],['# of Students]]</f>
        <v>0</v>
      </c>
      <c r="G15">
        <v>5</v>
      </c>
      <c r="H15" s="3">
        <f>Table5[[#This Row],['# with Full 
Religous Exemption]]/Table5[[#This Row],['# of Students]]</f>
        <v>3.1847133757961783E-2</v>
      </c>
      <c r="I15">
        <v>0</v>
      </c>
      <c r="J15" s="3">
        <f>Table5[[#This Row],['# UTD with 
Partial Religious Exemption]]/Table5[[#This Row],['# of Students]]</f>
        <v>0</v>
      </c>
    </row>
    <row r="16" spans="1:10" x14ac:dyDescent="0.25">
      <c r="A16" t="s">
        <v>15</v>
      </c>
      <c r="B16">
        <v>185</v>
      </c>
      <c r="C16">
        <v>0</v>
      </c>
      <c r="D16" s="3">
        <f>Table5[[#This Row],['# with Full 
Medical Exemption]]/Table5[[#This Row],['# of Students]]</f>
        <v>0</v>
      </c>
      <c r="E16">
        <v>0</v>
      </c>
      <c r="F16" s="3">
        <f>Table5[[#This Row],['# UTD with 
Partial Medical Exemption]]/Table5[[#This Row],['# of Students]]</f>
        <v>0</v>
      </c>
      <c r="G16">
        <v>6</v>
      </c>
      <c r="H16" s="3">
        <f>Table5[[#This Row],['# with Full 
Religous Exemption]]/Table5[[#This Row],['# of Students]]</f>
        <v>3.2432432432432434E-2</v>
      </c>
      <c r="I16">
        <v>0</v>
      </c>
      <c r="J16" s="3">
        <f>Table5[[#This Row],['# UTD with 
Partial Religious Exemption]]/Table5[[#This Row],['# of Students]]</f>
        <v>0</v>
      </c>
    </row>
    <row r="17" spans="1:10" x14ac:dyDescent="0.25">
      <c r="A17" t="s">
        <v>16</v>
      </c>
      <c r="B17">
        <v>737</v>
      </c>
      <c r="C17">
        <v>0</v>
      </c>
      <c r="D17" s="3">
        <f>Table5[[#This Row],['# with Full 
Medical Exemption]]/Table5[[#This Row],['# of Students]]</f>
        <v>0</v>
      </c>
      <c r="E17">
        <v>0</v>
      </c>
      <c r="F17" s="3">
        <f>Table5[[#This Row],['# UTD with 
Partial Medical Exemption]]/Table5[[#This Row],['# of Students]]</f>
        <v>0</v>
      </c>
      <c r="G17">
        <v>14</v>
      </c>
      <c r="H17" s="3">
        <f>Table5[[#This Row],['# with Full 
Religous Exemption]]/Table5[[#This Row],['# of Students]]</f>
        <v>1.8995929443690638E-2</v>
      </c>
      <c r="I17">
        <v>0</v>
      </c>
      <c r="J17" s="3">
        <f>Table5[[#This Row],['# UTD with 
Partial Religious Exemption]]/Table5[[#This Row],['# of Students]]</f>
        <v>0</v>
      </c>
    </row>
    <row r="18" spans="1:10" x14ac:dyDescent="0.25">
      <c r="A18" t="s">
        <v>17</v>
      </c>
      <c r="B18">
        <v>529</v>
      </c>
      <c r="C18">
        <v>0</v>
      </c>
      <c r="D18" s="3">
        <f>Table5[[#This Row],['# with Full 
Medical Exemption]]/Table5[[#This Row],['# of Students]]</f>
        <v>0</v>
      </c>
      <c r="E18">
        <v>0</v>
      </c>
      <c r="F18" s="3">
        <f>Table5[[#This Row],['# UTD with 
Partial Medical Exemption]]/Table5[[#This Row],['# of Students]]</f>
        <v>0</v>
      </c>
      <c r="G18">
        <v>6</v>
      </c>
      <c r="H18" s="3">
        <f>Table5[[#This Row],['# with Full 
Religous Exemption]]/Table5[[#This Row],['# of Students]]</f>
        <v>1.1342155009451797E-2</v>
      </c>
      <c r="I18">
        <v>0</v>
      </c>
      <c r="J18" s="3">
        <f>Table5[[#This Row],['# UTD with 
Partial Religious Exemption]]/Table5[[#This Row],['# of Students]]</f>
        <v>0</v>
      </c>
    </row>
    <row r="19" spans="1:10" x14ac:dyDescent="0.25">
      <c r="A19" t="s">
        <v>18</v>
      </c>
      <c r="B19">
        <v>82</v>
      </c>
      <c r="C19">
        <v>0</v>
      </c>
      <c r="D19" s="3">
        <f>Table5[[#This Row],['# with Full 
Medical Exemption]]/Table5[[#This Row],['# of Students]]</f>
        <v>0</v>
      </c>
      <c r="E19">
        <v>0</v>
      </c>
      <c r="F19" s="3">
        <f>Table5[[#This Row],['# UTD with 
Partial Medical Exemption]]/Table5[[#This Row],['# of Students]]</f>
        <v>0</v>
      </c>
      <c r="G19">
        <v>1</v>
      </c>
      <c r="H19" s="3">
        <f>Table5[[#This Row],['# with Full 
Religous Exemption]]/Table5[[#This Row],['# of Students]]</f>
        <v>1.2195121951219513E-2</v>
      </c>
      <c r="I19">
        <v>0</v>
      </c>
      <c r="J19" s="3">
        <f>Table5[[#This Row],['# UTD with 
Partial Religious Exemption]]/Table5[[#This Row],['# of Students]]</f>
        <v>0</v>
      </c>
    </row>
    <row r="20" spans="1:10" x14ac:dyDescent="0.25">
      <c r="A20" t="s">
        <v>19</v>
      </c>
      <c r="B20">
        <v>53</v>
      </c>
      <c r="C20">
        <v>0</v>
      </c>
      <c r="D20" s="3">
        <f>Table5[[#This Row],['# with Full 
Medical Exemption]]/Table5[[#This Row],['# of Students]]</f>
        <v>0</v>
      </c>
      <c r="E20">
        <v>0</v>
      </c>
      <c r="F20" s="3">
        <f>Table5[[#This Row],['# UTD with 
Partial Medical Exemption]]/Table5[[#This Row],['# of Students]]</f>
        <v>0</v>
      </c>
      <c r="G20">
        <v>0</v>
      </c>
      <c r="H20" s="3">
        <f>Table5[[#This Row],['# with Full 
Religous Exemption]]/Table5[[#This Row],['# of Students]]</f>
        <v>0</v>
      </c>
      <c r="I20">
        <v>0</v>
      </c>
      <c r="J20" s="3">
        <f>Table5[[#This Row],['# UTD with 
Partial Religious Exemption]]/Table5[[#This Row],['# of Students]]</f>
        <v>0</v>
      </c>
    </row>
    <row r="21" spans="1:10" x14ac:dyDescent="0.25">
      <c r="A21" t="s">
        <v>20</v>
      </c>
      <c r="B21">
        <v>446</v>
      </c>
      <c r="C21">
        <v>0</v>
      </c>
      <c r="D21" s="3">
        <f>Table5[[#This Row],['# with Full 
Medical Exemption]]/Table5[[#This Row],['# of Students]]</f>
        <v>0</v>
      </c>
      <c r="E21">
        <v>0</v>
      </c>
      <c r="F21" s="3">
        <f>Table5[[#This Row],['# UTD with 
Partial Medical Exemption]]/Table5[[#This Row],['# of Students]]</f>
        <v>0</v>
      </c>
      <c r="G21">
        <v>5</v>
      </c>
      <c r="H21" s="3">
        <f>Table5[[#This Row],['# with Full 
Religous Exemption]]/Table5[[#This Row],['# of Students]]</f>
        <v>1.1210762331838564E-2</v>
      </c>
      <c r="I21">
        <v>1</v>
      </c>
      <c r="J21" s="3">
        <f>Table5[[#This Row],['# UTD with 
Partial Religious Exemption]]/Table5[[#This Row],['# of Students]]</f>
        <v>2.242152466367713E-3</v>
      </c>
    </row>
    <row r="22" spans="1:10" x14ac:dyDescent="0.25">
      <c r="A22" t="s">
        <v>21</v>
      </c>
      <c r="B22">
        <v>191</v>
      </c>
      <c r="C22">
        <v>1</v>
      </c>
      <c r="D22" s="3">
        <f>Table5[[#This Row],['# with Full 
Medical Exemption]]/Table5[[#This Row],['# of Students]]</f>
        <v>5.235602094240838E-3</v>
      </c>
      <c r="E22">
        <v>0</v>
      </c>
      <c r="F22" s="3">
        <f>Table5[[#This Row],['# UTD with 
Partial Medical Exemption]]/Table5[[#This Row],['# of Students]]</f>
        <v>0</v>
      </c>
      <c r="G22">
        <v>2</v>
      </c>
      <c r="H22" s="3">
        <f>Table5[[#This Row],['# with Full 
Religous Exemption]]/Table5[[#This Row],['# of Students]]</f>
        <v>1.0471204188481676E-2</v>
      </c>
      <c r="I22">
        <v>0</v>
      </c>
      <c r="J22" s="3">
        <f>Table5[[#This Row],['# UTD with 
Partial Religious Exemption]]/Table5[[#This Row],['# of Students]]</f>
        <v>0</v>
      </c>
    </row>
    <row r="23" spans="1:10" x14ac:dyDescent="0.25">
      <c r="A23" t="s">
        <v>22</v>
      </c>
      <c r="B23">
        <v>957</v>
      </c>
      <c r="C23">
        <v>0</v>
      </c>
      <c r="D23" s="3">
        <f>Table5[[#This Row],['# with Full 
Medical Exemption]]/Table5[[#This Row],['# of Students]]</f>
        <v>0</v>
      </c>
      <c r="E23">
        <v>0</v>
      </c>
      <c r="F23" s="3">
        <f>Table5[[#This Row],['# UTD with 
Partial Medical Exemption]]/Table5[[#This Row],['# of Students]]</f>
        <v>0</v>
      </c>
      <c r="G23">
        <v>23</v>
      </c>
      <c r="H23" s="3">
        <f>Table5[[#This Row],['# with Full 
Religous Exemption]]/Table5[[#This Row],['# of Students]]</f>
        <v>2.4033437826541274E-2</v>
      </c>
      <c r="I23">
        <v>0</v>
      </c>
      <c r="J23" s="3">
        <f>Table5[[#This Row],['# UTD with 
Partial Religious Exemption]]/Table5[[#This Row],['# of Students]]</f>
        <v>0</v>
      </c>
    </row>
    <row r="24" spans="1:10" x14ac:dyDescent="0.25">
      <c r="A24" t="s">
        <v>23</v>
      </c>
      <c r="B24">
        <v>503</v>
      </c>
      <c r="C24">
        <v>0</v>
      </c>
      <c r="D24" s="3">
        <f>Table5[[#This Row],['# with Full 
Medical Exemption]]/Table5[[#This Row],['# of Students]]</f>
        <v>0</v>
      </c>
      <c r="E24">
        <v>0</v>
      </c>
      <c r="F24" s="3">
        <f>Table5[[#This Row],['# UTD with 
Partial Medical Exemption]]/Table5[[#This Row],['# of Students]]</f>
        <v>0</v>
      </c>
      <c r="G24">
        <v>5</v>
      </c>
      <c r="H24" s="3">
        <f>Table5[[#This Row],['# with Full 
Religous Exemption]]/Table5[[#This Row],['# of Students]]</f>
        <v>9.9403578528827041E-3</v>
      </c>
      <c r="I24">
        <v>0</v>
      </c>
      <c r="J24" s="3">
        <f>Table5[[#This Row],['# UTD with 
Partial Religious Exemption]]/Table5[[#This Row],['# of Students]]</f>
        <v>0</v>
      </c>
    </row>
    <row r="25" spans="1:10" x14ac:dyDescent="0.25">
      <c r="A25" t="s">
        <v>24</v>
      </c>
      <c r="B25">
        <v>319</v>
      </c>
      <c r="C25">
        <v>0</v>
      </c>
      <c r="D25" s="3">
        <f>Table5[[#This Row],['# with Full 
Medical Exemption]]/Table5[[#This Row],['# of Students]]</f>
        <v>0</v>
      </c>
      <c r="E25">
        <v>0</v>
      </c>
      <c r="F25" s="3">
        <f>Table5[[#This Row],['# UTD with 
Partial Medical Exemption]]/Table5[[#This Row],['# of Students]]</f>
        <v>0</v>
      </c>
      <c r="G25">
        <v>1</v>
      </c>
      <c r="H25" s="3">
        <f>Table5[[#This Row],['# with Full 
Religous Exemption]]/Table5[[#This Row],['# of Students]]</f>
        <v>3.134796238244514E-3</v>
      </c>
      <c r="I25">
        <v>0</v>
      </c>
      <c r="J25" s="3">
        <f>Table5[[#This Row],['# UTD with 
Partial Religious Exemption]]/Table5[[#This Row],['# of Students]]</f>
        <v>0</v>
      </c>
    </row>
    <row r="26" spans="1:10" x14ac:dyDescent="0.25">
      <c r="A26" t="s">
        <v>25</v>
      </c>
      <c r="B26">
        <v>913</v>
      </c>
      <c r="C26">
        <v>0</v>
      </c>
      <c r="D26" s="3">
        <f>Table5[[#This Row],['# with Full 
Medical Exemption]]/Table5[[#This Row],['# of Students]]</f>
        <v>0</v>
      </c>
      <c r="E26">
        <v>0</v>
      </c>
      <c r="F26" s="3">
        <f>Table5[[#This Row],['# UTD with 
Partial Medical Exemption]]/Table5[[#This Row],['# of Students]]</f>
        <v>0</v>
      </c>
      <c r="G26">
        <v>7</v>
      </c>
      <c r="H26" s="3">
        <f>Table5[[#This Row],['# with Full 
Religous Exemption]]/Table5[[#This Row],['# of Students]]</f>
        <v>7.6670317634173054E-3</v>
      </c>
      <c r="I26">
        <v>0</v>
      </c>
      <c r="J26" s="3">
        <f>Table5[[#This Row],['# UTD with 
Partial Religious Exemption]]/Table5[[#This Row],['# of Students]]</f>
        <v>0</v>
      </c>
    </row>
    <row r="27" spans="1:10" x14ac:dyDescent="0.25">
      <c r="A27" t="s">
        <v>26</v>
      </c>
      <c r="B27">
        <v>1098</v>
      </c>
      <c r="C27">
        <v>0</v>
      </c>
      <c r="D27" s="3">
        <f>Table5[[#This Row],['# with Full 
Medical Exemption]]/Table5[[#This Row],['# of Students]]</f>
        <v>0</v>
      </c>
      <c r="E27">
        <v>0</v>
      </c>
      <c r="F27" s="3">
        <f>Table5[[#This Row],['# UTD with 
Partial Medical Exemption]]/Table5[[#This Row],['# of Students]]</f>
        <v>0</v>
      </c>
      <c r="G27">
        <v>27</v>
      </c>
      <c r="H27" s="3">
        <f>Table5[[#This Row],['# with Full 
Religous Exemption]]/Table5[[#This Row],['# of Students]]</f>
        <v>2.4590163934426229E-2</v>
      </c>
      <c r="I27">
        <v>0</v>
      </c>
      <c r="J27" s="3">
        <f>Table5[[#This Row],['# UTD with 
Partial Religious Exemption]]/Table5[[#This Row],['# of Students]]</f>
        <v>0</v>
      </c>
    </row>
    <row r="28" spans="1:10" x14ac:dyDescent="0.25">
      <c r="A28" t="s">
        <v>27</v>
      </c>
      <c r="B28">
        <v>346</v>
      </c>
      <c r="C28">
        <v>0</v>
      </c>
      <c r="D28" s="3">
        <f>Table5[[#This Row],['# with Full 
Medical Exemption]]/Table5[[#This Row],['# of Students]]</f>
        <v>0</v>
      </c>
      <c r="E28">
        <v>0</v>
      </c>
      <c r="F28" s="3">
        <f>Table5[[#This Row],['# UTD with 
Partial Medical Exemption]]/Table5[[#This Row],['# of Students]]</f>
        <v>0</v>
      </c>
      <c r="G28">
        <v>2</v>
      </c>
      <c r="H28" s="3">
        <f>Table5[[#This Row],['# with Full 
Religous Exemption]]/Table5[[#This Row],['# of Students]]</f>
        <v>5.7803468208092483E-3</v>
      </c>
      <c r="I28">
        <v>0</v>
      </c>
      <c r="J28" s="3">
        <f>Table5[[#This Row],['# UTD with 
Partial Religious Exemption]]/Table5[[#This Row],['# of Students]]</f>
        <v>0</v>
      </c>
    </row>
    <row r="29" spans="1:10" x14ac:dyDescent="0.25">
      <c r="A29" t="s">
        <v>28</v>
      </c>
      <c r="B29">
        <v>1138</v>
      </c>
      <c r="C29">
        <v>0</v>
      </c>
      <c r="D29" s="3">
        <f>Table5[[#This Row],['# with Full 
Medical Exemption]]/Table5[[#This Row],['# of Students]]</f>
        <v>0</v>
      </c>
      <c r="E29">
        <v>0</v>
      </c>
      <c r="F29" s="3">
        <f>Table5[[#This Row],['# UTD with 
Partial Medical Exemption]]/Table5[[#This Row],['# of Students]]</f>
        <v>0</v>
      </c>
      <c r="G29">
        <v>17</v>
      </c>
      <c r="H29" s="3">
        <f>Table5[[#This Row],['# with Full 
Religous Exemption]]/Table5[[#This Row],['# of Students]]</f>
        <v>1.4938488576449912E-2</v>
      </c>
      <c r="I29">
        <v>0</v>
      </c>
      <c r="J29" s="3">
        <f>Table5[[#This Row],['# UTD with 
Partial Religious Exemption]]/Table5[[#This Row],['# of Students]]</f>
        <v>0</v>
      </c>
    </row>
    <row r="30" spans="1:10" x14ac:dyDescent="0.25">
      <c r="A30" t="s">
        <v>29</v>
      </c>
      <c r="B30">
        <v>151</v>
      </c>
      <c r="C30">
        <v>0</v>
      </c>
      <c r="D30" s="3">
        <f>Table5[[#This Row],['# with Full 
Medical Exemption]]/Table5[[#This Row],['# of Students]]</f>
        <v>0</v>
      </c>
      <c r="E30">
        <v>0</v>
      </c>
      <c r="F30" s="3">
        <f>Table5[[#This Row],['# UTD with 
Partial Medical Exemption]]/Table5[[#This Row],['# of Students]]</f>
        <v>0</v>
      </c>
      <c r="G30">
        <v>2</v>
      </c>
      <c r="H30" s="3">
        <f>Table5[[#This Row],['# with Full 
Religous Exemption]]/Table5[[#This Row],['# of Students]]</f>
        <v>1.3245033112582781E-2</v>
      </c>
      <c r="I30">
        <v>0</v>
      </c>
      <c r="J30" s="3">
        <f>Table5[[#This Row],['# UTD with 
Partial Religious Exemption]]/Table5[[#This Row],['# of Students]]</f>
        <v>0</v>
      </c>
    </row>
    <row r="31" spans="1:10" x14ac:dyDescent="0.25">
      <c r="A31" t="s">
        <v>30</v>
      </c>
      <c r="B31">
        <v>474</v>
      </c>
      <c r="C31">
        <v>0</v>
      </c>
      <c r="D31" s="3">
        <f>Table5[[#This Row],['# with Full 
Medical Exemption]]/Table5[[#This Row],['# of Students]]</f>
        <v>0</v>
      </c>
      <c r="E31">
        <v>0</v>
      </c>
      <c r="F31" s="3">
        <f>Table5[[#This Row],['# UTD with 
Partial Medical Exemption]]/Table5[[#This Row],['# of Students]]</f>
        <v>0</v>
      </c>
      <c r="G31">
        <v>1</v>
      </c>
      <c r="H31" s="3">
        <f>Table5[[#This Row],['# with Full 
Religous Exemption]]/Table5[[#This Row],['# of Students]]</f>
        <v>2.1097046413502108E-3</v>
      </c>
      <c r="I31">
        <v>0</v>
      </c>
      <c r="J31" s="3">
        <f>Table5[[#This Row],['# UTD with 
Partial Religious Exemption]]/Table5[[#This Row],['# of Students]]</f>
        <v>0</v>
      </c>
    </row>
    <row r="32" spans="1:10" x14ac:dyDescent="0.25">
      <c r="A32" t="s">
        <v>31</v>
      </c>
      <c r="B32">
        <v>319</v>
      </c>
      <c r="C32">
        <v>1</v>
      </c>
      <c r="D32" s="3">
        <f>Table5[[#This Row],['# with Full 
Medical Exemption]]/Table5[[#This Row],['# of Students]]</f>
        <v>3.134796238244514E-3</v>
      </c>
      <c r="E32">
        <v>0</v>
      </c>
      <c r="F32" s="3">
        <f>Table5[[#This Row],['# UTD with 
Partial Medical Exemption]]/Table5[[#This Row],['# of Students]]</f>
        <v>0</v>
      </c>
      <c r="G32">
        <v>6</v>
      </c>
      <c r="H32" s="3">
        <f>Table5[[#This Row],['# with Full 
Religous Exemption]]/Table5[[#This Row],['# of Students]]</f>
        <v>1.8808777429467086E-2</v>
      </c>
      <c r="I32">
        <v>0</v>
      </c>
      <c r="J32" s="3">
        <f>Table5[[#This Row],['# UTD with 
Partial Religious Exemption]]/Table5[[#This Row],['# of Students]]</f>
        <v>0</v>
      </c>
    </row>
    <row r="33" spans="1:10" x14ac:dyDescent="0.25">
      <c r="A33" t="s">
        <v>32</v>
      </c>
      <c r="B33">
        <v>57</v>
      </c>
      <c r="C33">
        <v>0</v>
      </c>
      <c r="D33" s="3">
        <f>Table5[[#This Row],['# with Full 
Medical Exemption]]/Table5[[#This Row],['# of Students]]</f>
        <v>0</v>
      </c>
      <c r="E33">
        <v>0</v>
      </c>
      <c r="F33" s="3">
        <f>Table5[[#This Row],['# UTD with 
Partial Medical Exemption]]/Table5[[#This Row],['# of Students]]</f>
        <v>0</v>
      </c>
      <c r="G33">
        <v>0</v>
      </c>
      <c r="H33" s="3">
        <f>Table5[[#This Row],['# with Full 
Religous Exemption]]/Table5[[#This Row],['# of Students]]</f>
        <v>0</v>
      </c>
      <c r="I33">
        <v>0</v>
      </c>
      <c r="J33" s="3">
        <f>Table5[[#This Row],['# UTD with 
Partial Religious Exemption]]/Table5[[#This Row],['# of Students]]</f>
        <v>0</v>
      </c>
    </row>
    <row r="34" spans="1:10" x14ac:dyDescent="0.25">
      <c r="A34" t="s">
        <v>33</v>
      </c>
      <c r="B34">
        <v>182</v>
      </c>
      <c r="C34">
        <v>0</v>
      </c>
      <c r="D34" s="3">
        <f>Table5[[#This Row],['# with Full 
Medical Exemption]]/Table5[[#This Row],['# of Students]]</f>
        <v>0</v>
      </c>
      <c r="E34">
        <v>0</v>
      </c>
      <c r="F34" s="3">
        <f>Table5[[#This Row],['# UTD with 
Partial Medical Exemption]]/Table5[[#This Row],['# of Students]]</f>
        <v>0</v>
      </c>
      <c r="G34">
        <v>1</v>
      </c>
      <c r="H34" s="3">
        <f>Table5[[#This Row],['# with Full 
Religous Exemption]]/Table5[[#This Row],['# of Students]]</f>
        <v>5.4945054945054949E-3</v>
      </c>
      <c r="I34">
        <v>0</v>
      </c>
      <c r="J34" s="3">
        <f>Table5[[#This Row],['# UTD with 
Partial Religious Exemption]]/Table5[[#This Row],['# of Students]]</f>
        <v>0</v>
      </c>
    </row>
    <row r="35" spans="1:10" x14ac:dyDescent="0.25">
      <c r="A35" t="s">
        <v>34</v>
      </c>
      <c r="B35">
        <v>184</v>
      </c>
      <c r="C35">
        <v>0</v>
      </c>
      <c r="D35" s="3">
        <f>Table5[[#This Row],['# with Full 
Medical Exemption]]/Table5[[#This Row],['# of Students]]</f>
        <v>0</v>
      </c>
      <c r="E35">
        <v>0</v>
      </c>
      <c r="F35" s="3">
        <f>Table5[[#This Row],['# UTD with 
Partial Medical Exemption]]/Table5[[#This Row],['# of Students]]</f>
        <v>0</v>
      </c>
      <c r="G35">
        <v>1</v>
      </c>
      <c r="H35" s="3">
        <f>Table5[[#This Row],['# with Full 
Religous Exemption]]/Table5[[#This Row],['# of Students]]</f>
        <v>5.434782608695652E-3</v>
      </c>
      <c r="I35">
        <v>0</v>
      </c>
      <c r="J35" s="3">
        <f>Table5[[#This Row],['# UTD with 
Partial Religious Exemption]]/Table5[[#This Row],['# of Students]]</f>
        <v>0</v>
      </c>
    </row>
    <row r="36" spans="1:10" x14ac:dyDescent="0.25">
      <c r="A36" t="s">
        <v>35</v>
      </c>
      <c r="B36">
        <v>1067</v>
      </c>
      <c r="C36">
        <v>1</v>
      </c>
      <c r="D36" s="3">
        <f>Table5[[#This Row],['# with Full 
Medical Exemption]]/Table5[[#This Row],['# of Students]]</f>
        <v>9.372071227741331E-4</v>
      </c>
      <c r="E36">
        <v>0</v>
      </c>
      <c r="F36" s="3">
        <f>Table5[[#This Row],['# UTD with 
Partial Medical Exemption]]/Table5[[#This Row],['# of Students]]</f>
        <v>0</v>
      </c>
      <c r="G36">
        <v>6</v>
      </c>
      <c r="H36" s="3">
        <f>Table5[[#This Row],['# with Full 
Religous Exemption]]/Table5[[#This Row],['# of Students]]</f>
        <v>5.6232427366447986E-3</v>
      </c>
      <c r="I36">
        <v>1</v>
      </c>
      <c r="J36" s="3">
        <f>Table5[[#This Row],['# UTD with 
Partial Religious Exemption]]/Table5[[#This Row],['# of Students]]</f>
        <v>9.372071227741331E-4</v>
      </c>
    </row>
    <row r="37" spans="1:10" x14ac:dyDescent="0.25">
      <c r="A37" t="s">
        <v>36</v>
      </c>
      <c r="B37">
        <v>546</v>
      </c>
      <c r="C37">
        <v>0</v>
      </c>
      <c r="D37" s="3">
        <f>Table5[[#This Row],['# with Full 
Medical Exemption]]/Table5[[#This Row],['# of Students]]</f>
        <v>0</v>
      </c>
      <c r="E37">
        <v>0</v>
      </c>
      <c r="F37" s="3">
        <f>Table5[[#This Row],['# UTD with 
Partial Medical Exemption]]/Table5[[#This Row],['# of Students]]</f>
        <v>0</v>
      </c>
      <c r="G37">
        <v>14</v>
      </c>
      <c r="H37" s="3">
        <f>Table5[[#This Row],['# with Full 
Religous Exemption]]/Table5[[#This Row],['# of Students]]</f>
        <v>2.564102564102564E-2</v>
      </c>
      <c r="I37">
        <v>0</v>
      </c>
      <c r="J37" s="3">
        <f>Table5[[#This Row],['# UTD with 
Partial Religious Exemption]]/Table5[[#This Row],['# of Students]]</f>
        <v>0</v>
      </c>
    </row>
    <row r="38" spans="1:10" x14ac:dyDescent="0.25">
      <c r="A38" t="s">
        <v>37</v>
      </c>
      <c r="B38">
        <v>7052</v>
      </c>
      <c r="C38">
        <v>3</v>
      </c>
      <c r="D38" s="3">
        <f>Table5[[#This Row],['# with Full 
Medical Exemption]]/Table5[[#This Row],['# of Students]]</f>
        <v>4.2541123085649462E-4</v>
      </c>
      <c r="E38">
        <v>0</v>
      </c>
      <c r="F38" s="3">
        <f>Table5[[#This Row],['# UTD with 
Partial Medical Exemption]]/Table5[[#This Row],['# of Students]]</f>
        <v>0</v>
      </c>
      <c r="G38">
        <v>74</v>
      </c>
      <c r="H38" s="3">
        <f>Table5[[#This Row],['# with Full 
Religous Exemption]]/Table5[[#This Row],['# of Students]]</f>
        <v>1.0493477027793534E-2</v>
      </c>
      <c r="I38">
        <v>0</v>
      </c>
      <c r="J38" s="3">
        <f>Table5[[#This Row],['# UTD with 
Partial Religious Exemption]]/Table5[[#This Row],['# of Students]]</f>
        <v>0</v>
      </c>
    </row>
    <row r="39" spans="1:10" x14ac:dyDescent="0.25">
      <c r="A39" t="s">
        <v>38</v>
      </c>
      <c r="B39">
        <v>162</v>
      </c>
      <c r="C39">
        <v>0</v>
      </c>
      <c r="D39" s="3">
        <f>Table5[[#This Row],['# with Full 
Medical Exemption]]/Table5[[#This Row],['# of Students]]</f>
        <v>0</v>
      </c>
      <c r="E39">
        <v>0</v>
      </c>
      <c r="F39" s="3">
        <f>Table5[[#This Row],['# UTD with 
Partial Medical Exemption]]/Table5[[#This Row],['# of Students]]</f>
        <v>0</v>
      </c>
      <c r="G39">
        <v>1</v>
      </c>
      <c r="H39" s="3">
        <f>Table5[[#This Row],['# with Full 
Religous Exemption]]/Table5[[#This Row],['# of Students]]</f>
        <v>6.1728395061728392E-3</v>
      </c>
      <c r="I39">
        <v>0</v>
      </c>
      <c r="J39" s="3">
        <f>Table5[[#This Row],['# UTD with 
Partial Religious Exemption]]/Table5[[#This Row],['# of Students]]</f>
        <v>0</v>
      </c>
    </row>
    <row r="40" spans="1:10" x14ac:dyDescent="0.25">
      <c r="A40" t="s">
        <v>39</v>
      </c>
      <c r="B40">
        <v>931</v>
      </c>
      <c r="C40">
        <v>1</v>
      </c>
      <c r="D40" s="3">
        <f>Table5[[#This Row],['# with Full 
Medical Exemption]]/Table5[[#This Row],['# of Students]]</f>
        <v>1.0741138560687433E-3</v>
      </c>
      <c r="E40">
        <v>0</v>
      </c>
      <c r="F40" s="3">
        <f>Table5[[#This Row],['# UTD with 
Partial Medical Exemption]]/Table5[[#This Row],['# of Students]]</f>
        <v>0</v>
      </c>
      <c r="G40">
        <v>22</v>
      </c>
      <c r="H40" s="3">
        <f>Table5[[#This Row],['# with Full 
Religous Exemption]]/Table5[[#This Row],['# of Students]]</f>
        <v>2.3630504833512353E-2</v>
      </c>
      <c r="I40">
        <v>0</v>
      </c>
      <c r="J40" s="3">
        <f>Table5[[#This Row],['# UTD with 
Partial Religious Exemption]]/Table5[[#This Row],['# of Students]]</f>
        <v>0</v>
      </c>
    </row>
    <row r="41" spans="1:10" x14ac:dyDescent="0.25">
      <c r="A41" t="s">
        <v>40</v>
      </c>
      <c r="B41">
        <v>327</v>
      </c>
      <c r="C41">
        <v>1</v>
      </c>
      <c r="D41" s="3">
        <f>Table5[[#This Row],['# with Full 
Medical Exemption]]/Table5[[#This Row],['# of Students]]</f>
        <v>3.0581039755351682E-3</v>
      </c>
      <c r="E41">
        <v>0</v>
      </c>
      <c r="F41" s="3">
        <f>Table5[[#This Row],['# UTD with 
Partial Medical Exemption]]/Table5[[#This Row],['# of Students]]</f>
        <v>0</v>
      </c>
      <c r="G41">
        <v>2</v>
      </c>
      <c r="H41" s="3">
        <f>Table5[[#This Row],['# with Full 
Religous Exemption]]/Table5[[#This Row],['# of Students]]</f>
        <v>6.1162079510703364E-3</v>
      </c>
      <c r="I41">
        <v>0</v>
      </c>
      <c r="J41" s="3">
        <f>Table5[[#This Row],['# UTD with 
Partial Religious Exemption]]/Table5[[#This Row],['# of Students]]</f>
        <v>0</v>
      </c>
    </row>
    <row r="42" spans="1:10" x14ac:dyDescent="0.25">
      <c r="A42" t="s">
        <v>41</v>
      </c>
      <c r="B42">
        <v>1763</v>
      </c>
      <c r="C42">
        <v>1</v>
      </c>
      <c r="D42" s="3">
        <f>Table5[[#This Row],['# with Full 
Medical Exemption]]/Table5[[#This Row],['# of Students]]</f>
        <v>5.6721497447532619E-4</v>
      </c>
      <c r="E42">
        <v>0</v>
      </c>
      <c r="F42" s="3">
        <f>Table5[[#This Row],['# UTD with 
Partial Medical Exemption]]/Table5[[#This Row],['# of Students]]</f>
        <v>0</v>
      </c>
      <c r="G42">
        <v>25</v>
      </c>
      <c r="H42" s="3">
        <f>Table5[[#This Row],['# with Full 
Religous Exemption]]/Table5[[#This Row],['# of Students]]</f>
        <v>1.4180374361883154E-2</v>
      </c>
      <c r="I42">
        <v>0</v>
      </c>
      <c r="J42" s="3">
        <f>Table5[[#This Row],['# UTD with 
Partial Religious Exemption]]/Table5[[#This Row],['# of Students]]</f>
        <v>0</v>
      </c>
    </row>
    <row r="43" spans="1:10" x14ac:dyDescent="0.25">
      <c r="A43" t="s">
        <v>42</v>
      </c>
      <c r="B43">
        <v>1000</v>
      </c>
      <c r="C43">
        <v>1</v>
      </c>
      <c r="D43" s="3">
        <f>Table5[[#This Row],['# with Full 
Medical Exemption]]/Table5[[#This Row],['# of Students]]</f>
        <v>1E-3</v>
      </c>
      <c r="E43">
        <v>0</v>
      </c>
      <c r="F43" s="3">
        <f>Table5[[#This Row],['# UTD with 
Partial Medical Exemption]]/Table5[[#This Row],['# of Students]]</f>
        <v>0</v>
      </c>
      <c r="G43">
        <v>17</v>
      </c>
      <c r="H43" s="3">
        <f>Table5[[#This Row],['# with Full 
Religous Exemption]]/Table5[[#This Row],['# of Students]]</f>
        <v>1.7000000000000001E-2</v>
      </c>
      <c r="I43">
        <v>0</v>
      </c>
      <c r="J43" s="3">
        <f>Table5[[#This Row],['# UTD with 
Partial Religious Exemption]]/Table5[[#This Row],['# of Students]]</f>
        <v>0</v>
      </c>
    </row>
    <row r="44" spans="1:10" x14ac:dyDescent="0.25">
      <c r="A44" t="s">
        <v>43</v>
      </c>
      <c r="B44">
        <v>109</v>
      </c>
      <c r="C44">
        <v>0</v>
      </c>
      <c r="D44" s="3">
        <f>Table5[[#This Row],['# with Full 
Medical Exemption]]/Table5[[#This Row],['# of Students]]</f>
        <v>0</v>
      </c>
      <c r="E44">
        <v>0</v>
      </c>
      <c r="F44" s="3">
        <f>Table5[[#This Row],['# UTD with 
Partial Medical Exemption]]/Table5[[#This Row],['# of Students]]</f>
        <v>0</v>
      </c>
      <c r="G44">
        <v>1</v>
      </c>
      <c r="H44" s="3">
        <f>Table5[[#This Row],['# with Full 
Religous Exemption]]/Table5[[#This Row],['# of Students]]</f>
        <v>9.1743119266055051E-3</v>
      </c>
      <c r="I44">
        <v>0</v>
      </c>
      <c r="J44" s="3">
        <f>Table5[[#This Row],['# UTD with 
Partial Religious Exemption]]/Table5[[#This Row],['# of Students]]</f>
        <v>0</v>
      </c>
    </row>
    <row r="45" spans="1:10" x14ac:dyDescent="0.25">
      <c r="A45" t="s">
        <v>44</v>
      </c>
      <c r="B45">
        <v>19</v>
      </c>
      <c r="C45">
        <v>0</v>
      </c>
      <c r="D45" s="3">
        <f>Table5[[#This Row],['# with Full 
Medical Exemption]]/Table5[[#This Row],['# of Students]]</f>
        <v>0</v>
      </c>
      <c r="E45">
        <v>0</v>
      </c>
      <c r="F45" s="3">
        <f>Table5[[#This Row],['# UTD with 
Partial Medical Exemption]]/Table5[[#This Row],['# of Students]]</f>
        <v>0</v>
      </c>
      <c r="G45">
        <v>1</v>
      </c>
      <c r="H45" s="3">
        <f>Table5[[#This Row],['# with Full 
Religous Exemption]]/Table5[[#This Row],['# of Students]]</f>
        <v>5.2631578947368418E-2</v>
      </c>
      <c r="I45">
        <v>0</v>
      </c>
      <c r="J45" s="3">
        <f>Table5[[#This Row],['# UTD with 
Partial Religious Exemption]]/Table5[[#This Row],['# of Students]]</f>
        <v>0</v>
      </c>
    </row>
    <row r="46" spans="1:10" x14ac:dyDescent="0.25">
      <c r="A46" t="s">
        <v>45</v>
      </c>
      <c r="B46">
        <v>4562</v>
      </c>
      <c r="C46">
        <v>6</v>
      </c>
      <c r="D46" s="3">
        <f>Table5[[#This Row],['# with Full 
Medical Exemption]]/Table5[[#This Row],['# of Students]]</f>
        <v>1.31521262604121E-3</v>
      </c>
      <c r="E46">
        <v>0</v>
      </c>
      <c r="F46" s="3">
        <f>Table5[[#This Row],['# UTD with 
Partial Medical Exemption]]/Table5[[#This Row],['# of Students]]</f>
        <v>0</v>
      </c>
      <c r="G46">
        <v>62</v>
      </c>
      <c r="H46" s="3">
        <f>Table5[[#This Row],['# with Full 
Religous Exemption]]/Table5[[#This Row],['# of Students]]</f>
        <v>1.3590530469092503E-2</v>
      </c>
      <c r="I46">
        <v>1</v>
      </c>
      <c r="J46" s="3">
        <f>Table5[[#This Row],['# UTD with 
Partial Religious Exemption]]/Table5[[#This Row],['# of Students]]</f>
        <v>2.1920210434020167E-4</v>
      </c>
    </row>
    <row r="47" spans="1:10" x14ac:dyDescent="0.25">
      <c r="A47" t="s">
        <v>46</v>
      </c>
      <c r="B47">
        <v>220</v>
      </c>
      <c r="C47">
        <v>0</v>
      </c>
      <c r="D47" s="3">
        <f>Table5[[#This Row],['# with Full 
Medical Exemption]]/Table5[[#This Row],['# of Students]]</f>
        <v>0</v>
      </c>
      <c r="E47">
        <v>0</v>
      </c>
      <c r="F47" s="3">
        <f>Table5[[#This Row],['# UTD with 
Partial Medical Exemption]]/Table5[[#This Row],['# of Students]]</f>
        <v>0</v>
      </c>
      <c r="G47">
        <v>1</v>
      </c>
      <c r="H47" s="3">
        <f>Table5[[#This Row],['# with Full 
Religous Exemption]]/Table5[[#This Row],['# of Students]]</f>
        <v>4.5454545454545452E-3</v>
      </c>
      <c r="I47">
        <v>0</v>
      </c>
      <c r="J47" s="3">
        <f>Table5[[#This Row],['# UTD with 
Partial Religious Exemption]]/Table5[[#This Row],['# of Students]]</f>
        <v>0</v>
      </c>
    </row>
    <row r="48" spans="1:10" x14ac:dyDescent="0.25">
      <c r="A48" t="s">
        <v>47</v>
      </c>
      <c r="B48">
        <v>301</v>
      </c>
      <c r="C48">
        <v>0</v>
      </c>
      <c r="D48" s="3">
        <f>Table5[[#This Row],['# with Full 
Medical Exemption]]/Table5[[#This Row],['# of Students]]</f>
        <v>0</v>
      </c>
      <c r="E48">
        <v>0</v>
      </c>
      <c r="F48" s="3">
        <f>Table5[[#This Row],['# UTD with 
Partial Medical Exemption]]/Table5[[#This Row],['# of Students]]</f>
        <v>0</v>
      </c>
      <c r="G48">
        <v>9</v>
      </c>
      <c r="H48" s="3">
        <f>Table5[[#This Row],['# with Full 
Religous Exemption]]/Table5[[#This Row],['# of Students]]</f>
        <v>2.9900332225913623E-2</v>
      </c>
      <c r="I48">
        <v>0</v>
      </c>
      <c r="J48" s="3">
        <f>Table5[[#This Row],['# UTD with 
Partial Religious Exemption]]/Table5[[#This Row],['# of Students]]</f>
        <v>0</v>
      </c>
    </row>
    <row r="49" spans="1:10" x14ac:dyDescent="0.25">
      <c r="A49" t="s">
        <v>48</v>
      </c>
      <c r="B49">
        <v>1309</v>
      </c>
      <c r="C49">
        <v>0</v>
      </c>
      <c r="D49" s="3">
        <f>Table5[[#This Row],['# with Full 
Medical Exemption]]/Table5[[#This Row],['# of Students]]</f>
        <v>0</v>
      </c>
      <c r="E49">
        <v>0</v>
      </c>
      <c r="F49" s="3">
        <f>Table5[[#This Row],['# UTD with 
Partial Medical Exemption]]/Table5[[#This Row],['# of Students]]</f>
        <v>0</v>
      </c>
      <c r="G49">
        <v>17</v>
      </c>
      <c r="H49" s="3">
        <f>Table5[[#This Row],['# with Full 
Religous Exemption]]/Table5[[#This Row],['# of Students]]</f>
        <v>1.2987012987012988E-2</v>
      </c>
      <c r="I49">
        <v>0</v>
      </c>
      <c r="J49" s="3">
        <f>Table5[[#This Row],['# UTD with 
Partial Religious Exemption]]/Table5[[#This Row],['# of Students]]</f>
        <v>0</v>
      </c>
    </row>
    <row r="50" spans="1:10" x14ac:dyDescent="0.25">
      <c r="A50" t="s">
        <v>49</v>
      </c>
      <c r="B50">
        <v>4775</v>
      </c>
      <c r="C50">
        <v>6</v>
      </c>
      <c r="D50" s="3">
        <f>Table5[[#This Row],['# with Full 
Medical Exemption]]/Table5[[#This Row],['# of Students]]</f>
        <v>1.256544502617801E-3</v>
      </c>
      <c r="E50">
        <v>0</v>
      </c>
      <c r="F50" s="3">
        <f>Table5[[#This Row],['# UTD with 
Partial Medical Exemption]]/Table5[[#This Row],['# of Students]]</f>
        <v>0</v>
      </c>
      <c r="G50">
        <v>88</v>
      </c>
      <c r="H50" s="3">
        <f>Table5[[#This Row],['# with Full 
Religous Exemption]]/Table5[[#This Row],['# of Students]]</f>
        <v>1.8429319371727749E-2</v>
      </c>
      <c r="I50">
        <v>0</v>
      </c>
      <c r="J50" s="3">
        <f>Table5[[#This Row],['# UTD with 
Partial Religious Exemption]]/Table5[[#This Row],['# of Students]]</f>
        <v>0</v>
      </c>
    </row>
    <row r="51" spans="1:10" x14ac:dyDescent="0.25">
      <c r="A51" t="s">
        <v>50</v>
      </c>
      <c r="B51">
        <v>238</v>
      </c>
      <c r="C51">
        <v>0</v>
      </c>
      <c r="D51" s="3">
        <f>Table5[[#This Row],['# with Full 
Medical Exemption]]/Table5[[#This Row],['# of Students]]</f>
        <v>0</v>
      </c>
      <c r="E51">
        <v>1</v>
      </c>
      <c r="F51" s="3">
        <f>Table5[[#This Row],['# UTD with 
Partial Medical Exemption]]/Table5[[#This Row],['# of Students]]</f>
        <v>4.2016806722689074E-3</v>
      </c>
      <c r="G51">
        <v>2</v>
      </c>
      <c r="H51" s="3">
        <f>Table5[[#This Row],['# with Full 
Religous Exemption]]/Table5[[#This Row],['# of Students]]</f>
        <v>8.4033613445378148E-3</v>
      </c>
      <c r="I51">
        <v>0</v>
      </c>
      <c r="J51" s="3">
        <f>Table5[[#This Row],['# UTD with 
Partial Religious Exemption]]/Table5[[#This Row],['# of Students]]</f>
        <v>0</v>
      </c>
    </row>
    <row r="52" spans="1:10" x14ac:dyDescent="0.25">
      <c r="A52" t="s">
        <v>51</v>
      </c>
      <c r="B52">
        <v>2269</v>
      </c>
      <c r="C52">
        <v>0</v>
      </c>
      <c r="D52" s="3">
        <f>Table5[[#This Row],['# with Full 
Medical Exemption]]/Table5[[#This Row],['# of Students]]</f>
        <v>0</v>
      </c>
      <c r="E52">
        <v>0</v>
      </c>
      <c r="F52" s="3">
        <f>Table5[[#This Row],['# UTD with 
Partial Medical Exemption]]/Table5[[#This Row],['# of Students]]</f>
        <v>0</v>
      </c>
      <c r="G52">
        <v>20</v>
      </c>
      <c r="H52" s="3">
        <f>Table5[[#This Row],['# with Full 
Religous Exemption]]/Table5[[#This Row],['# of Students]]</f>
        <v>8.8144557073600704E-3</v>
      </c>
      <c r="I52">
        <v>0</v>
      </c>
      <c r="J52" s="3">
        <f>Table5[[#This Row],['# UTD with 
Partial Religious Exemption]]/Table5[[#This Row],['# of Students]]</f>
        <v>0</v>
      </c>
    </row>
    <row r="53" spans="1:10" x14ac:dyDescent="0.25">
      <c r="A53" t="s">
        <v>52</v>
      </c>
      <c r="B53">
        <v>1465</v>
      </c>
      <c r="C53">
        <v>0</v>
      </c>
      <c r="D53" s="3">
        <f>Table5[[#This Row],['# with Full 
Medical Exemption]]/Table5[[#This Row],['# of Students]]</f>
        <v>0</v>
      </c>
      <c r="E53">
        <v>0</v>
      </c>
      <c r="F53" s="3">
        <f>Table5[[#This Row],['# UTD with 
Partial Medical Exemption]]/Table5[[#This Row],['# of Students]]</f>
        <v>0</v>
      </c>
      <c r="G53">
        <v>25</v>
      </c>
      <c r="H53" s="3">
        <f>Table5[[#This Row],['# with Full 
Religous Exemption]]/Table5[[#This Row],['# of Students]]</f>
        <v>1.7064846416382253E-2</v>
      </c>
      <c r="I53">
        <v>0</v>
      </c>
      <c r="J53" s="3">
        <f>Table5[[#This Row],['# UTD with 
Partial Religious Exemption]]/Table5[[#This Row],['# of Students]]</f>
        <v>0</v>
      </c>
    </row>
    <row r="54" spans="1:10" x14ac:dyDescent="0.25">
      <c r="A54" t="s">
        <v>53</v>
      </c>
      <c r="B54">
        <v>77</v>
      </c>
      <c r="C54">
        <v>0</v>
      </c>
      <c r="D54" s="3">
        <f>Table5[[#This Row],['# with Full 
Medical Exemption]]/Table5[[#This Row],['# of Students]]</f>
        <v>0</v>
      </c>
      <c r="E54">
        <v>0</v>
      </c>
      <c r="F54" s="3">
        <f>Table5[[#This Row],['# UTD with 
Partial Medical Exemption]]/Table5[[#This Row],['# of Students]]</f>
        <v>0</v>
      </c>
      <c r="G54">
        <v>0</v>
      </c>
      <c r="H54" s="3">
        <f>Table5[[#This Row],['# with Full 
Religous Exemption]]/Table5[[#This Row],['# of Students]]</f>
        <v>0</v>
      </c>
      <c r="I54">
        <v>0</v>
      </c>
      <c r="J54" s="3">
        <f>Table5[[#This Row],['# UTD with 
Partial Religious Exemption]]/Table5[[#This Row],['# of Students]]</f>
        <v>0</v>
      </c>
    </row>
    <row r="55" spans="1:10" x14ac:dyDescent="0.25">
      <c r="A55" t="s">
        <v>54</v>
      </c>
      <c r="B55">
        <v>179</v>
      </c>
      <c r="C55">
        <v>0</v>
      </c>
      <c r="D55" s="3">
        <f>Table5[[#This Row],['# with Full 
Medical Exemption]]/Table5[[#This Row],['# of Students]]</f>
        <v>0</v>
      </c>
      <c r="E55">
        <v>0</v>
      </c>
      <c r="F55" s="3">
        <f>Table5[[#This Row],['# UTD with 
Partial Medical Exemption]]/Table5[[#This Row],['# of Students]]</f>
        <v>0</v>
      </c>
      <c r="G55">
        <v>0</v>
      </c>
      <c r="H55" s="3">
        <f>Table5[[#This Row],['# with Full 
Religous Exemption]]/Table5[[#This Row],['# of Students]]</f>
        <v>0</v>
      </c>
      <c r="I55">
        <v>0</v>
      </c>
      <c r="J55" s="3">
        <f>Table5[[#This Row],['# UTD with 
Partial Religious Exemption]]/Table5[[#This Row],['# of Students]]</f>
        <v>0</v>
      </c>
    </row>
    <row r="56" spans="1:10" x14ac:dyDescent="0.25">
      <c r="A56" t="s">
        <v>55</v>
      </c>
      <c r="B56">
        <v>282</v>
      </c>
      <c r="C56">
        <v>0</v>
      </c>
      <c r="D56" s="3">
        <f>Table5[[#This Row],['# with Full 
Medical Exemption]]/Table5[[#This Row],['# of Students]]</f>
        <v>0</v>
      </c>
      <c r="E56">
        <v>0</v>
      </c>
      <c r="F56" s="3">
        <f>Table5[[#This Row],['# UTD with 
Partial Medical Exemption]]/Table5[[#This Row],['# of Students]]</f>
        <v>0</v>
      </c>
      <c r="G56">
        <v>3</v>
      </c>
      <c r="H56" s="3">
        <f>Table5[[#This Row],['# with Full 
Religous Exemption]]/Table5[[#This Row],['# of Students]]</f>
        <v>1.0638297872340425E-2</v>
      </c>
      <c r="I56">
        <v>0</v>
      </c>
      <c r="J56" s="3">
        <f>Table5[[#This Row],['# UTD with 
Partial Religious Exemption]]/Table5[[#This Row],['# of Students]]</f>
        <v>0</v>
      </c>
    </row>
    <row r="57" spans="1:10" x14ac:dyDescent="0.25">
      <c r="A57" t="s">
        <v>56</v>
      </c>
      <c r="B57">
        <v>244</v>
      </c>
      <c r="C57">
        <v>0</v>
      </c>
      <c r="D57" s="3">
        <f>Table5[[#This Row],['# with Full 
Medical Exemption]]/Table5[[#This Row],['# of Students]]</f>
        <v>0</v>
      </c>
      <c r="E57">
        <v>0</v>
      </c>
      <c r="F57" s="3">
        <f>Table5[[#This Row],['# UTD with 
Partial Medical Exemption]]/Table5[[#This Row],['# of Students]]</f>
        <v>0</v>
      </c>
      <c r="G57">
        <v>3</v>
      </c>
      <c r="H57" s="3">
        <f>Table5[[#This Row],['# with Full 
Religous Exemption]]/Table5[[#This Row],['# of Students]]</f>
        <v>1.2295081967213115E-2</v>
      </c>
      <c r="I57">
        <v>0</v>
      </c>
      <c r="J57" s="3">
        <f>Table5[[#This Row],['# UTD with 
Partial Religious Exemption]]/Table5[[#This Row],['# of Students]]</f>
        <v>0</v>
      </c>
    </row>
    <row r="58" spans="1:10" x14ac:dyDescent="0.25">
      <c r="A58" t="s">
        <v>57</v>
      </c>
      <c r="B58">
        <v>865</v>
      </c>
      <c r="C58">
        <v>0</v>
      </c>
      <c r="D58" s="3">
        <f>Table5[[#This Row],['# with Full 
Medical Exemption]]/Table5[[#This Row],['# of Students]]</f>
        <v>0</v>
      </c>
      <c r="E58">
        <v>0</v>
      </c>
      <c r="F58" s="3">
        <f>Table5[[#This Row],['# UTD with 
Partial Medical Exemption]]/Table5[[#This Row],['# of Students]]</f>
        <v>0</v>
      </c>
      <c r="G58">
        <v>6</v>
      </c>
      <c r="H58" s="3">
        <f>Table5[[#This Row],['# with Full 
Religous Exemption]]/Table5[[#This Row],['# of Students]]</f>
        <v>6.9364161849710983E-3</v>
      </c>
      <c r="I58">
        <v>0</v>
      </c>
      <c r="J58" s="3">
        <f>Table5[[#This Row],['# UTD with 
Partial Religious Exemption]]/Table5[[#This Row],['# of Students]]</f>
        <v>0</v>
      </c>
    </row>
    <row r="59" spans="1:10" x14ac:dyDescent="0.25">
      <c r="A59" t="s">
        <v>58</v>
      </c>
      <c r="B59">
        <v>3248</v>
      </c>
      <c r="C59">
        <v>3</v>
      </c>
      <c r="D59" s="3">
        <f>Table5[[#This Row],['# with Full 
Medical Exemption]]/Table5[[#This Row],['# of Students]]</f>
        <v>9.2364532019704429E-4</v>
      </c>
      <c r="E59">
        <v>1</v>
      </c>
      <c r="F59" s="3">
        <f>Table5[[#This Row],['# UTD with 
Partial Medical Exemption]]/Table5[[#This Row],['# of Students]]</f>
        <v>3.0788177339901478E-4</v>
      </c>
      <c r="G59">
        <v>91</v>
      </c>
      <c r="H59" s="3">
        <f>Table5[[#This Row],['# with Full 
Religous Exemption]]/Table5[[#This Row],['# of Students]]</f>
        <v>2.8017241379310345E-2</v>
      </c>
      <c r="I59">
        <v>0</v>
      </c>
      <c r="J59" s="3">
        <f>Table5[[#This Row],['# UTD with 
Partial Religious Exemption]]/Table5[[#This Row],['# of Students]]</f>
        <v>0</v>
      </c>
    </row>
    <row r="60" spans="1:10" x14ac:dyDescent="0.25">
      <c r="A60" t="s">
        <v>77</v>
      </c>
      <c r="B60">
        <v>1035</v>
      </c>
      <c r="C60">
        <v>4</v>
      </c>
      <c r="D60" s="3">
        <f>Table5[[#This Row],['# with Full 
Medical Exemption]]/Table5[[#This Row],['# of Students]]</f>
        <v>3.8647342995169081E-3</v>
      </c>
      <c r="E60">
        <v>0</v>
      </c>
      <c r="F60" s="3">
        <f>Table5[[#This Row],['# UTD with 
Partial Medical Exemption]]/Table5[[#This Row],['# of Students]]</f>
        <v>0</v>
      </c>
      <c r="G60">
        <v>24</v>
      </c>
      <c r="H60" s="3">
        <f>Table5[[#This Row],['# with Full 
Religous Exemption]]/Table5[[#This Row],['# of Students]]</f>
        <v>2.318840579710145E-2</v>
      </c>
      <c r="I60">
        <v>0</v>
      </c>
      <c r="J60" s="3">
        <f>Table5[[#This Row],['# UTD with 
Partial Religious Exemption]]/Table5[[#This Row],['# of Students]]</f>
        <v>0</v>
      </c>
    </row>
    <row r="61" spans="1:10" x14ac:dyDescent="0.25">
      <c r="A61" t="s">
        <v>60</v>
      </c>
      <c r="B61">
        <v>55</v>
      </c>
      <c r="C61">
        <v>0</v>
      </c>
      <c r="D61" s="3">
        <f>Table5[[#This Row],['# with Full 
Medical Exemption]]/Table5[[#This Row],['# of Students]]</f>
        <v>0</v>
      </c>
      <c r="E61">
        <v>0</v>
      </c>
      <c r="F61" s="3">
        <f>Table5[[#This Row],['# UTD with 
Partial Medical Exemption]]/Table5[[#This Row],['# of Students]]</f>
        <v>0</v>
      </c>
      <c r="G61">
        <v>0</v>
      </c>
      <c r="H61" s="3">
        <f>Table5[[#This Row],['# with Full 
Religous Exemption]]/Table5[[#This Row],['# of Students]]</f>
        <v>0</v>
      </c>
      <c r="I61">
        <v>0</v>
      </c>
      <c r="J61" s="3">
        <f>Table5[[#This Row],['# UTD with 
Partial Religious Exemption]]/Table5[[#This Row],['# of Students]]</f>
        <v>0</v>
      </c>
    </row>
    <row r="62" spans="1:10" x14ac:dyDescent="0.25">
      <c r="A62" t="s">
        <v>61</v>
      </c>
      <c r="B62">
        <v>691</v>
      </c>
      <c r="C62">
        <v>0</v>
      </c>
      <c r="D62" s="3">
        <f>Table5[[#This Row],['# with Full 
Medical Exemption]]/Table5[[#This Row],['# of Students]]</f>
        <v>0</v>
      </c>
      <c r="E62">
        <v>0</v>
      </c>
      <c r="F62" s="3">
        <f>Table5[[#This Row],['# UTD with 
Partial Medical Exemption]]/Table5[[#This Row],['# of Students]]</f>
        <v>0</v>
      </c>
      <c r="G62">
        <v>9</v>
      </c>
      <c r="H62" s="3">
        <f>Table5[[#This Row],['# with Full 
Religous Exemption]]/Table5[[#This Row],['# of Students]]</f>
        <v>1.3024602026049204E-2</v>
      </c>
      <c r="I62">
        <v>0</v>
      </c>
      <c r="J62" s="3">
        <f>Table5[[#This Row],['# UTD with 
Partial Religious Exemption]]/Table5[[#This Row],['# of Students]]</f>
        <v>0</v>
      </c>
    </row>
    <row r="63" spans="1:10" x14ac:dyDescent="0.25">
      <c r="A63" t="s">
        <v>62</v>
      </c>
      <c r="B63">
        <v>411</v>
      </c>
      <c r="C63">
        <v>0</v>
      </c>
      <c r="D63" s="3">
        <f>Table5[[#This Row],['# with Full 
Medical Exemption]]/Table5[[#This Row],['# of Students]]</f>
        <v>0</v>
      </c>
      <c r="E63">
        <v>0</v>
      </c>
      <c r="F63" s="3">
        <f>Table5[[#This Row],['# UTD with 
Partial Medical Exemption]]/Table5[[#This Row],['# of Students]]</f>
        <v>0</v>
      </c>
      <c r="G63">
        <v>2</v>
      </c>
      <c r="H63" s="3">
        <f>Table5[[#This Row],['# with Full 
Religous Exemption]]/Table5[[#This Row],['# of Students]]</f>
        <v>4.8661800486618006E-3</v>
      </c>
      <c r="I63">
        <v>0</v>
      </c>
      <c r="J63" s="3">
        <f>Table5[[#This Row],['# UTD with 
Partial Religious Exemption]]/Table5[[#This Row],['# of Students]]</f>
        <v>0</v>
      </c>
    </row>
    <row r="64" spans="1:10" x14ac:dyDescent="0.25">
      <c r="A64" t="s">
        <v>63</v>
      </c>
      <c r="B64">
        <v>2232</v>
      </c>
      <c r="C64">
        <v>6</v>
      </c>
      <c r="D64" s="3">
        <f>Table5[[#This Row],['# with Full 
Medical Exemption]]/Table5[[#This Row],['# of Students]]</f>
        <v>2.6881720430107529E-3</v>
      </c>
      <c r="E64">
        <v>0</v>
      </c>
      <c r="F64" s="3">
        <f>Table5[[#This Row],['# UTD with 
Partial Medical Exemption]]/Table5[[#This Row],['# of Students]]</f>
        <v>0</v>
      </c>
      <c r="G64">
        <v>22</v>
      </c>
      <c r="H64" s="3">
        <f>Table5[[#This Row],['# with Full 
Religous Exemption]]/Table5[[#This Row],['# of Students]]</f>
        <v>9.8566308243727592E-3</v>
      </c>
      <c r="I64">
        <v>0</v>
      </c>
      <c r="J64" s="3">
        <f>Table5[[#This Row],['# UTD with 
Partial Religious Exemption]]/Table5[[#This Row],['# of Students]]</f>
        <v>0</v>
      </c>
    </row>
    <row r="65" spans="1:10" x14ac:dyDescent="0.25">
      <c r="A65" t="s">
        <v>64</v>
      </c>
      <c r="B65">
        <v>721</v>
      </c>
      <c r="C65">
        <v>0</v>
      </c>
      <c r="D65" s="3">
        <f>Table5[[#This Row],['# with Full 
Medical Exemption]]/Table5[[#This Row],['# of Students]]</f>
        <v>0</v>
      </c>
      <c r="E65">
        <v>0</v>
      </c>
      <c r="F65" s="3">
        <f>Table5[[#This Row],['# UTD with 
Partial Medical Exemption]]/Table5[[#This Row],['# of Students]]</f>
        <v>0</v>
      </c>
      <c r="G65">
        <v>12</v>
      </c>
      <c r="H65" s="3">
        <f>Table5[[#This Row],['# with Full 
Religous Exemption]]/Table5[[#This Row],['# of Students]]</f>
        <v>1.6643550624133148E-2</v>
      </c>
      <c r="I65">
        <v>0</v>
      </c>
      <c r="J65" s="3">
        <f>Table5[[#This Row],['# UTD with 
Partial Religious Exemption]]/Table5[[#This Row],['# of Students]]</f>
        <v>0</v>
      </c>
    </row>
    <row r="66" spans="1:10" x14ac:dyDescent="0.25">
      <c r="A66" t="s">
        <v>65</v>
      </c>
      <c r="B66">
        <v>160</v>
      </c>
      <c r="C66">
        <v>1</v>
      </c>
      <c r="D66" s="3">
        <f>Table5[[#This Row],['# with Full 
Medical Exemption]]/Table5[[#This Row],['# of Students]]</f>
        <v>6.2500000000000003E-3</v>
      </c>
      <c r="E66">
        <v>0</v>
      </c>
      <c r="F66" s="3">
        <f>Table5[[#This Row],['# UTD with 
Partial Medical Exemption]]/Table5[[#This Row],['# of Students]]</f>
        <v>0</v>
      </c>
      <c r="G66">
        <v>5</v>
      </c>
      <c r="H66" s="3">
        <f>Table5[[#This Row],['# with Full 
Religous Exemption]]/Table5[[#This Row],['# of Students]]</f>
        <v>3.125E-2</v>
      </c>
      <c r="I66">
        <v>0</v>
      </c>
      <c r="J66" s="3">
        <f>Table5[[#This Row],['# UTD with 
Partial Religious Exemption]]/Table5[[#This Row],['# of Students]]</f>
        <v>0</v>
      </c>
    </row>
    <row r="67" spans="1:10" x14ac:dyDescent="0.25">
      <c r="A67" t="s">
        <v>66</v>
      </c>
      <c r="B67">
        <v>54</v>
      </c>
      <c r="C67">
        <v>0</v>
      </c>
      <c r="D67" s="3">
        <f>Table5[[#This Row],['# with Full 
Medical Exemption]]/Table5[[#This Row],['# of Students]]</f>
        <v>0</v>
      </c>
      <c r="E67">
        <v>0</v>
      </c>
      <c r="F67" s="3">
        <f>Table5[[#This Row],['# UTD with 
Partial Medical Exemption]]/Table5[[#This Row],['# of Students]]</f>
        <v>0</v>
      </c>
      <c r="G67">
        <v>0</v>
      </c>
      <c r="H67" s="3">
        <f>Table5[[#This Row],['# with Full 
Religous Exemption]]/Table5[[#This Row],['# of Students]]</f>
        <v>0</v>
      </c>
      <c r="I67">
        <v>0</v>
      </c>
      <c r="J67" s="3">
        <f>Table5[[#This Row],['# UTD with 
Partial Religious Exemption]]/Table5[[#This Row],['# of Students]]</f>
        <v>0</v>
      </c>
    </row>
    <row r="68" spans="1:10" x14ac:dyDescent="0.25">
      <c r="A68" t="s">
        <v>67</v>
      </c>
      <c r="B68">
        <v>242</v>
      </c>
      <c r="C68">
        <v>1</v>
      </c>
      <c r="D68" s="3">
        <f>Table5[[#This Row],['# with Full 
Medical Exemption]]/Table5[[#This Row],['# of Students]]</f>
        <v>4.1322314049586778E-3</v>
      </c>
      <c r="E68">
        <v>0</v>
      </c>
      <c r="F68" s="3">
        <f>Table5[[#This Row],['# UTD with 
Partial Medical Exemption]]/Table5[[#This Row],['# of Students]]</f>
        <v>0</v>
      </c>
      <c r="G68">
        <v>7</v>
      </c>
      <c r="H68" s="3">
        <f>Table5[[#This Row],['# with Full 
Religous Exemption]]/Table5[[#This Row],['# of Students]]</f>
        <v>2.8925619834710745E-2</v>
      </c>
      <c r="I68">
        <v>0</v>
      </c>
      <c r="J68" s="3">
        <f>Table5[[#This Row],['# UTD with 
Partial Religious Exemption]]/Table5[[#This Row],['# of Students]]</f>
        <v>0</v>
      </c>
    </row>
    <row r="69" spans="1:10" x14ac:dyDescent="0.25">
      <c r="B69">
        <f>SUBTOTAL(109,Table5['# of Students])</f>
        <v>55793</v>
      </c>
      <c r="C69">
        <f>SUBTOTAL(109,Table5['# with Full 
Medical Exemption])</f>
        <v>46</v>
      </c>
      <c r="D69" s="3">
        <f>Table5[[#Totals],['# with Full 
Medical Exemption]]/Table5[[#Totals],['# of Students]]</f>
        <v>8.2447618876920045E-4</v>
      </c>
      <c r="E69">
        <f>SUBTOTAL(109,Table5['# UTD with 
Partial Medical Exemption])</f>
        <v>9</v>
      </c>
      <c r="F69" s="3">
        <f>Table5[[#Totals],['# UTD with 
Partial Medical Exemption]]/Table5[[#Totals],['# of Students]]</f>
        <v>1.6131055867223487E-4</v>
      </c>
      <c r="G69">
        <f>SUBTOTAL(109,Table5['# with Full 
Religous Exemption])</f>
        <v>886</v>
      </c>
      <c r="H69" s="3">
        <f>Table5[[#Totals],['# with Full 
Religous Exemption]]/Table5[[#Totals],['# of Students]]</f>
        <v>1.5880128331511121E-2</v>
      </c>
      <c r="I69">
        <f>SUBTOTAL(109,Table5['# UTD with 
Partial Religious Exemption])</f>
        <v>4</v>
      </c>
      <c r="J69" s="3">
        <f>Table5[[#Totals],['# UTD with 
Partial Religious Exemption]]/Table5[[#Totals],['# of Students]]</f>
        <v>7.1693581632104384E-5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01.28.2021</vt:lpstr>
      <vt:lpstr>03.16.2022</vt:lpstr>
      <vt:lpstr>12.27.2022</vt:lpstr>
      <vt:lpstr>04.08.2024</vt:lpstr>
      <vt:lpstr>03.11.2025</vt:lpstr>
    </vt:vector>
  </TitlesOfParts>
  <Company>Alabama Department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Stephens, Rebecca</dc:creator>
  <cp:lastModifiedBy>Stephens, Rebecca</cp:lastModifiedBy>
  <dcterms:created xsi:type="dcterms:W3CDTF">2025-04-23T13:43:00Z</dcterms:created>
  <dcterms:modified xsi:type="dcterms:W3CDTF">2025-04-23T14:58:48Z</dcterms:modified>
</cp:coreProperties>
</file>